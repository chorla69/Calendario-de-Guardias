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dif365-my.sharepoint.com/personal/jg_nogales_adif_es/Documents/Escritorio/Sevilla/Calendario de Turnos Brigada/"/>
    </mc:Choice>
  </mc:AlternateContent>
  <xr:revisionPtr revIDLastSave="12" documentId="13_ncr:1_{3F1D75DB-B9B0-4B04-84AC-655A7433B219}" xr6:coauthVersionLast="47" xr6:coauthVersionMax="47" xr10:uidLastSave="{F30B049C-C066-42F5-80A2-D1BEC466075C}"/>
  <bookViews>
    <workbookView xWindow="-120" yWindow="-120" windowWidth="29040" windowHeight="17520" tabRatio="608" xr2:uid="{00000000-000D-0000-FFFF-FFFF00000000}"/>
  </bookViews>
  <sheets>
    <sheet name="CALENDARIO 2026" sheetId="1" r:id="rId1"/>
    <sheet name="CALENDARIO 2027" sheetId="2" r:id="rId2"/>
    <sheet name="GUARDIAS" sheetId="3" r:id="rId3"/>
    <sheet name="FESTIVOS" sheetId="4" r:id="rId4"/>
    <sheet name="SEMANA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6" i="3" l="1"/>
  <c r="T12" i="4"/>
  <c r="T13" i="4"/>
  <c r="T14" i="4"/>
  <c r="T15" i="4"/>
  <c r="T11" i="4"/>
  <c r="L65" i="5"/>
  <c r="K65" i="5"/>
  <c r="J65" i="5"/>
  <c r="I65" i="5"/>
  <c r="H65" i="5"/>
  <c r="E65" i="5"/>
  <c r="L64" i="5"/>
  <c r="K64" i="5"/>
  <c r="J64" i="5"/>
  <c r="I64" i="5"/>
  <c r="H64" i="5"/>
  <c r="E64" i="5"/>
  <c r="L63" i="5"/>
  <c r="K63" i="5"/>
  <c r="J63" i="5"/>
  <c r="I63" i="5"/>
  <c r="H63" i="5"/>
  <c r="E63" i="5"/>
  <c r="L62" i="5"/>
  <c r="K62" i="5"/>
  <c r="J62" i="5"/>
  <c r="I62" i="5"/>
  <c r="H62" i="5"/>
  <c r="E62" i="5"/>
  <c r="L61" i="5"/>
  <c r="K61" i="5"/>
  <c r="J61" i="5"/>
  <c r="I61" i="5"/>
  <c r="H61" i="5"/>
  <c r="E61" i="5"/>
  <c r="L60" i="5"/>
  <c r="K60" i="5"/>
  <c r="J60" i="5"/>
  <c r="I60" i="5"/>
  <c r="H60" i="5"/>
  <c r="E60" i="5"/>
  <c r="L59" i="5"/>
  <c r="K59" i="5"/>
  <c r="J59" i="5"/>
  <c r="I59" i="5"/>
  <c r="H59" i="5"/>
  <c r="E59" i="5"/>
  <c r="L58" i="5"/>
  <c r="K58" i="5"/>
  <c r="J58" i="5"/>
  <c r="I58" i="5"/>
  <c r="H58" i="5"/>
  <c r="E58" i="5"/>
  <c r="L57" i="5"/>
  <c r="K57" i="5"/>
  <c r="J57" i="5"/>
  <c r="I57" i="5"/>
  <c r="H57" i="5"/>
  <c r="E57" i="5"/>
  <c r="L56" i="5"/>
  <c r="K56" i="5"/>
  <c r="J56" i="5"/>
  <c r="I56" i="5"/>
  <c r="H56" i="5"/>
  <c r="E56" i="5"/>
  <c r="L55" i="5"/>
  <c r="K55" i="5"/>
  <c r="J55" i="5"/>
  <c r="I55" i="5"/>
  <c r="H55" i="5"/>
  <c r="E55" i="5"/>
  <c r="L54" i="5"/>
  <c r="K54" i="5"/>
  <c r="J54" i="5"/>
  <c r="I54" i="5"/>
  <c r="H54" i="5"/>
  <c r="E54" i="5"/>
  <c r="L53" i="5"/>
  <c r="K53" i="5"/>
  <c r="J53" i="5"/>
  <c r="I53" i="5"/>
  <c r="H53" i="5"/>
  <c r="E53" i="5"/>
  <c r="L52" i="5"/>
  <c r="K52" i="5"/>
  <c r="J52" i="5"/>
  <c r="I52" i="5"/>
  <c r="H52" i="5"/>
  <c r="E52" i="5"/>
  <c r="L51" i="5"/>
  <c r="K51" i="5"/>
  <c r="J51" i="5"/>
  <c r="I51" i="5"/>
  <c r="H51" i="5"/>
  <c r="E51" i="5"/>
  <c r="L50" i="5"/>
  <c r="K50" i="5"/>
  <c r="J50" i="5"/>
  <c r="I50" i="5"/>
  <c r="H50" i="5"/>
  <c r="E50" i="5"/>
  <c r="L49" i="5"/>
  <c r="K49" i="5"/>
  <c r="J49" i="5"/>
  <c r="I49" i="5"/>
  <c r="H49" i="5"/>
  <c r="E49" i="5"/>
  <c r="L48" i="5"/>
  <c r="K48" i="5"/>
  <c r="J48" i="5"/>
  <c r="I48" i="5"/>
  <c r="H48" i="5"/>
  <c r="E48" i="5"/>
  <c r="L47" i="5"/>
  <c r="K47" i="5"/>
  <c r="J47" i="5"/>
  <c r="I47" i="5"/>
  <c r="H47" i="5"/>
  <c r="E47" i="5"/>
  <c r="L46" i="5"/>
  <c r="K46" i="5"/>
  <c r="J46" i="5"/>
  <c r="I46" i="5"/>
  <c r="H46" i="5"/>
  <c r="E46" i="5"/>
  <c r="L45" i="5"/>
  <c r="K45" i="5"/>
  <c r="J45" i="5"/>
  <c r="I45" i="5"/>
  <c r="H45" i="5"/>
  <c r="E45" i="5"/>
  <c r="L44" i="5"/>
  <c r="K44" i="5"/>
  <c r="J44" i="5"/>
  <c r="I44" i="5"/>
  <c r="H44" i="5"/>
  <c r="E44" i="5"/>
  <c r="L43" i="5"/>
  <c r="K43" i="5"/>
  <c r="J43" i="5"/>
  <c r="I43" i="5"/>
  <c r="H43" i="5"/>
  <c r="E43" i="5"/>
  <c r="L42" i="5"/>
  <c r="K42" i="5"/>
  <c r="J42" i="5"/>
  <c r="I42" i="5"/>
  <c r="H42" i="5"/>
  <c r="E42" i="5"/>
  <c r="L41" i="5"/>
  <c r="K41" i="5"/>
  <c r="J41" i="5"/>
  <c r="I41" i="5"/>
  <c r="H41" i="5"/>
  <c r="E41" i="5"/>
  <c r="L40" i="5"/>
  <c r="K40" i="5"/>
  <c r="J40" i="5"/>
  <c r="I40" i="5"/>
  <c r="H40" i="5"/>
  <c r="E40" i="5"/>
  <c r="L39" i="5"/>
  <c r="K39" i="5"/>
  <c r="J39" i="5"/>
  <c r="I39" i="5"/>
  <c r="H39" i="5"/>
  <c r="E39" i="5"/>
  <c r="L38" i="5"/>
  <c r="K38" i="5"/>
  <c r="J38" i="5"/>
  <c r="I38" i="5"/>
  <c r="H38" i="5"/>
  <c r="E38" i="5"/>
  <c r="L37" i="5"/>
  <c r="K37" i="5"/>
  <c r="J37" i="5"/>
  <c r="I37" i="5"/>
  <c r="H37" i="5"/>
  <c r="E37" i="5"/>
  <c r="L36" i="5"/>
  <c r="K36" i="5"/>
  <c r="J36" i="5"/>
  <c r="I36" i="5"/>
  <c r="H36" i="5"/>
  <c r="E36" i="5"/>
  <c r="L35" i="5"/>
  <c r="K35" i="5"/>
  <c r="J35" i="5"/>
  <c r="I35" i="5"/>
  <c r="H35" i="5"/>
  <c r="E35" i="5"/>
  <c r="L34" i="5"/>
  <c r="K34" i="5"/>
  <c r="J34" i="5"/>
  <c r="I34" i="5"/>
  <c r="H34" i="5"/>
  <c r="E34" i="5"/>
  <c r="L33" i="5"/>
  <c r="K33" i="5"/>
  <c r="J33" i="5"/>
  <c r="I33" i="5"/>
  <c r="H33" i="5"/>
  <c r="E33" i="5"/>
  <c r="L32" i="5"/>
  <c r="K32" i="5"/>
  <c r="J32" i="5"/>
  <c r="I32" i="5"/>
  <c r="H32" i="5"/>
  <c r="E32" i="5"/>
  <c r="L31" i="5"/>
  <c r="K31" i="5"/>
  <c r="J31" i="5"/>
  <c r="I31" i="5"/>
  <c r="H31" i="5"/>
  <c r="E31" i="5"/>
  <c r="L30" i="5"/>
  <c r="K30" i="5"/>
  <c r="J30" i="5"/>
  <c r="I30" i="5"/>
  <c r="H30" i="5"/>
  <c r="E30" i="5"/>
  <c r="L29" i="5"/>
  <c r="K29" i="5"/>
  <c r="J29" i="5"/>
  <c r="I29" i="5"/>
  <c r="H29" i="5"/>
  <c r="E29" i="5"/>
  <c r="L28" i="5"/>
  <c r="K28" i="5"/>
  <c r="J28" i="5"/>
  <c r="I28" i="5"/>
  <c r="H28" i="5"/>
  <c r="E28" i="5"/>
  <c r="L27" i="5"/>
  <c r="K27" i="5"/>
  <c r="J27" i="5"/>
  <c r="I27" i="5"/>
  <c r="H27" i="5"/>
  <c r="E27" i="5"/>
  <c r="L26" i="5"/>
  <c r="K26" i="5"/>
  <c r="J26" i="5"/>
  <c r="I26" i="5"/>
  <c r="H26" i="5"/>
  <c r="E26" i="5"/>
  <c r="L25" i="5"/>
  <c r="K25" i="5"/>
  <c r="J25" i="5"/>
  <c r="I25" i="5"/>
  <c r="H25" i="5"/>
  <c r="E25" i="5"/>
  <c r="L24" i="5"/>
  <c r="K24" i="5"/>
  <c r="J24" i="5"/>
  <c r="I24" i="5"/>
  <c r="H24" i="5"/>
  <c r="E24" i="5"/>
  <c r="L23" i="5"/>
  <c r="K23" i="5"/>
  <c r="J23" i="5"/>
  <c r="I23" i="5"/>
  <c r="H23" i="5"/>
  <c r="E23" i="5"/>
  <c r="L22" i="5"/>
  <c r="K22" i="5"/>
  <c r="J22" i="5"/>
  <c r="I22" i="5"/>
  <c r="H22" i="5"/>
  <c r="E22" i="5"/>
  <c r="L21" i="5"/>
  <c r="K21" i="5"/>
  <c r="J21" i="5"/>
  <c r="I21" i="5"/>
  <c r="H21" i="5"/>
  <c r="E21" i="5"/>
  <c r="L20" i="5"/>
  <c r="K20" i="5"/>
  <c r="J20" i="5"/>
  <c r="I20" i="5"/>
  <c r="H20" i="5"/>
  <c r="E20" i="5"/>
  <c r="L19" i="5"/>
  <c r="K19" i="5"/>
  <c r="J19" i="5"/>
  <c r="I19" i="5"/>
  <c r="H19" i="5"/>
  <c r="E19" i="5"/>
  <c r="L18" i="5"/>
  <c r="K18" i="5"/>
  <c r="J18" i="5"/>
  <c r="I18" i="5"/>
  <c r="H18" i="5"/>
  <c r="E18" i="5"/>
  <c r="L17" i="5"/>
  <c r="K17" i="5"/>
  <c r="J17" i="5"/>
  <c r="I17" i="5"/>
  <c r="H17" i="5"/>
  <c r="E17" i="5"/>
  <c r="L16" i="5"/>
  <c r="K16" i="5"/>
  <c r="J16" i="5"/>
  <c r="I16" i="5"/>
  <c r="H16" i="5"/>
  <c r="E16" i="5"/>
  <c r="L15" i="5"/>
  <c r="K15" i="5"/>
  <c r="J15" i="5"/>
  <c r="I15" i="5"/>
  <c r="H15" i="5"/>
  <c r="E15" i="5"/>
  <c r="L14" i="5"/>
  <c r="K14" i="5"/>
  <c r="J14" i="5"/>
  <c r="I14" i="5"/>
  <c r="H14" i="5"/>
  <c r="E14" i="5"/>
  <c r="L13" i="5"/>
  <c r="K13" i="5"/>
  <c r="J13" i="5"/>
  <c r="I13" i="5"/>
  <c r="H13" i="5"/>
  <c r="E13" i="5"/>
  <c r="L12" i="5"/>
  <c r="K12" i="5"/>
  <c r="J12" i="5"/>
  <c r="I12" i="5"/>
  <c r="H12" i="5"/>
  <c r="E12" i="5"/>
  <c r="L11" i="5"/>
  <c r="K11" i="5"/>
  <c r="J11" i="5"/>
  <c r="I11" i="5"/>
  <c r="H11" i="5"/>
  <c r="E11" i="5"/>
  <c r="L10" i="5"/>
  <c r="K10" i="5"/>
  <c r="J10" i="5"/>
  <c r="I10" i="5"/>
  <c r="H10" i="5"/>
  <c r="E10" i="5"/>
  <c r="L9" i="5"/>
  <c r="K9" i="5"/>
  <c r="J9" i="5"/>
  <c r="I9" i="5"/>
  <c r="H9" i="5"/>
  <c r="E9" i="5"/>
  <c r="L8" i="5"/>
  <c r="K8" i="5"/>
  <c r="J8" i="5"/>
  <c r="I8" i="5"/>
  <c r="H8" i="5"/>
  <c r="E8" i="5"/>
  <c r="L7" i="5"/>
  <c r="K7" i="5"/>
  <c r="J7" i="5"/>
  <c r="I7" i="5"/>
  <c r="H7" i="5"/>
  <c r="E7" i="5"/>
  <c r="L6" i="5"/>
  <c r="K6" i="5"/>
  <c r="J6" i="5"/>
  <c r="I6" i="5"/>
  <c r="H6" i="5"/>
  <c r="E6" i="5"/>
  <c r="L5" i="5"/>
  <c r="K5" i="5"/>
  <c r="J5" i="5"/>
  <c r="I5" i="5"/>
  <c r="H5" i="5"/>
  <c r="E5" i="5"/>
  <c r="L4" i="5"/>
  <c r="K4" i="5"/>
  <c r="D16" i="3"/>
  <c r="J4" i="5"/>
  <c r="G15" i="3" s="1"/>
  <c r="I4" i="5"/>
  <c r="H4" i="5"/>
  <c r="E4" i="5"/>
  <c r="L3" i="5"/>
  <c r="K3" i="5"/>
  <c r="J3" i="5"/>
  <c r="I3" i="5"/>
  <c r="G14" i="3"/>
  <c r="H3" i="5"/>
  <c r="E3" i="5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S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S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S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S12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S11" i="4"/>
  <c r="I7" i="4"/>
  <c r="H7" i="4"/>
  <c r="G7" i="4"/>
  <c r="F7" i="4"/>
  <c r="E7" i="4"/>
  <c r="D7" i="4"/>
  <c r="C7" i="4"/>
  <c r="I6" i="4"/>
  <c r="H6" i="4"/>
  <c r="G6" i="4"/>
  <c r="F6" i="4"/>
  <c r="E6" i="4"/>
  <c r="D6" i="4"/>
  <c r="C6" i="4"/>
  <c r="J6" i="4"/>
  <c r="I5" i="4"/>
  <c r="H5" i="4"/>
  <c r="G5" i="4"/>
  <c r="F5" i="4"/>
  <c r="E5" i="4"/>
  <c r="D5" i="4"/>
  <c r="C5" i="4"/>
  <c r="J5" i="4"/>
  <c r="U5" i="3"/>
  <c r="I4" i="4"/>
  <c r="H4" i="4"/>
  <c r="G4" i="4"/>
  <c r="F4" i="4"/>
  <c r="E4" i="4"/>
  <c r="D4" i="4"/>
  <c r="C4" i="4"/>
  <c r="I3" i="4"/>
  <c r="H3" i="4"/>
  <c r="G3" i="4"/>
  <c r="F3" i="4"/>
  <c r="E3" i="4"/>
  <c r="D3" i="4"/>
  <c r="C3" i="4"/>
  <c r="R7" i="3"/>
  <c r="Q7" i="3"/>
  <c r="P7" i="3"/>
  <c r="O7" i="3"/>
  <c r="N7" i="3"/>
  <c r="M7" i="3"/>
  <c r="L7" i="3"/>
  <c r="K7" i="3"/>
  <c r="J7" i="3"/>
  <c r="I7" i="3"/>
  <c r="H7" i="3"/>
  <c r="G7" i="3"/>
  <c r="E7" i="3"/>
  <c r="D7" i="3"/>
  <c r="C7" i="3"/>
  <c r="R6" i="3"/>
  <c r="Q6" i="3"/>
  <c r="P6" i="3"/>
  <c r="O6" i="3"/>
  <c r="N6" i="3"/>
  <c r="M6" i="3"/>
  <c r="L6" i="3"/>
  <c r="K6" i="3"/>
  <c r="J6" i="3"/>
  <c r="I6" i="3"/>
  <c r="H6" i="3"/>
  <c r="G6" i="3"/>
  <c r="E6" i="3"/>
  <c r="D6" i="3"/>
  <c r="C6" i="3"/>
  <c r="R5" i="3"/>
  <c r="Q5" i="3"/>
  <c r="P5" i="3"/>
  <c r="O5" i="3"/>
  <c r="N5" i="3"/>
  <c r="M5" i="3"/>
  <c r="L5" i="3"/>
  <c r="K5" i="3"/>
  <c r="J5" i="3"/>
  <c r="I5" i="3"/>
  <c r="H5" i="3"/>
  <c r="G5" i="3"/>
  <c r="E5" i="3"/>
  <c r="D5" i="3"/>
  <c r="C5" i="3"/>
  <c r="R4" i="3"/>
  <c r="Q4" i="3"/>
  <c r="P4" i="3"/>
  <c r="O4" i="3"/>
  <c r="N4" i="3"/>
  <c r="M4" i="3"/>
  <c r="L4" i="3"/>
  <c r="K4" i="3"/>
  <c r="J4" i="3"/>
  <c r="I4" i="3"/>
  <c r="H4" i="3"/>
  <c r="G4" i="3"/>
  <c r="E4" i="3"/>
  <c r="D4" i="3"/>
  <c r="C4" i="3"/>
  <c r="R3" i="3"/>
  <c r="Q3" i="3"/>
  <c r="P3" i="3"/>
  <c r="O3" i="3"/>
  <c r="N3" i="3"/>
  <c r="M3" i="3"/>
  <c r="L3" i="3"/>
  <c r="K3" i="3"/>
  <c r="J3" i="3"/>
  <c r="I3" i="3"/>
  <c r="H3" i="3"/>
  <c r="G3" i="3"/>
  <c r="E3" i="3"/>
  <c r="D3" i="3"/>
  <c r="C3" i="3"/>
  <c r="F7" i="3"/>
  <c r="D17" i="3"/>
  <c r="J4" i="4"/>
  <c r="U4" i="3"/>
  <c r="G16" i="3"/>
  <c r="J3" i="4"/>
  <c r="U3" i="3"/>
  <c r="J7" i="4"/>
  <c r="S6" i="3"/>
  <c r="S4" i="3"/>
  <c r="S5" i="3"/>
  <c r="S3" i="3"/>
  <c r="S7" i="3"/>
  <c r="F6" i="3"/>
  <c r="F4" i="3"/>
  <c r="U7" i="3"/>
  <c r="F17" i="3"/>
  <c r="F14" i="3"/>
  <c r="T7" i="3"/>
  <c r="T6" i="3"/>
  <c r="T4" i="3"/>
  <c r="F5" i="3" l="1"/>
  <c r="T5" i="3" s="1"/>
  <c r="F3" i="3"/>
  <c r="T3" i="3" s="1"/>
  <c r="E14" i="3"/>
  <c r="D15" i="3"/>
  <c r="E17" i="3"/>
  <c r="E16" i="3"/>
  <c r="F15" i="3"/>
  <c r="F13" i="3"/>
  <c r="C14" i="3"/>
  <c r="C17" i="3"/>
  <c r="C16" i="3"/>
  <c r="C15" i="3"/>
  <c r="G13" i="3"/>
  <c r="E13" i="3"/>
  <c r="D13" i="3"/>
  <c r="V6" i="3" l="1"/>
  <c r="V3" i="3"/>
  <c r="V5" i="3"/>
  <c r="V7" i="3"/>
  <c r="V4" i="3"/>
</calcChain>
</file>

<file path=xl/sharedStrings.xml><?xml version="1.0" encoding="utf-8"?>
<sst xmlns="http://schemas.openxmlformats.org/spreadsheetml/2006/main" count="1740" uniqueCount="151">
  <si>
    <t>BRIGADAS TELECO – CALENDARIO DE GUARDIAS 2026</t>
  </si>
  <si>
    <t>Leyenda:</t>
  </si>
  <si>
    <t>G</t>
  </si>
  <si>
    <t>Guardia</t>
  </si>
  <si>
    <t>F</t>
  </si>
  <si>
    <t>Festivo (sin guardia)</t>
  </si>
  <si>
    <t>V</t>
  </si>
  <si>
    <t>Vacaciones</t>
  </si>
  <si>
    <t>Fin de semana</t>
  </si>
  <si>
    <t>Evento Personal</t>
  </si>
  <si>
    <t>Festivo nacional</t>
  </si>
  <si>
    <t>Festivo Andalucía</t>
  </si>
  <si>
    <t>Festivo local Sevilla</t>
  </si>
  <si>
    <t>RJ Jefatura</t>
  </si>
  <si>
    <t>OCTUBRE 2026</t>
  </si>
  <si>
    <t>Festivos del mes</t>
  </si>
  <si>
    <t>TELECO</t>
  </si>
  <si>
    <t>J</t>
  </si>
  <si>
    <t>S</t>
  </si>
  <si>
    <t>D</t>
  </si>
  <si>
    <t>L</t>
  </si>
  <si>
    <t>M</t>
  </si>
  <si>
    <t>X</t>
  </si>
  <si>
    <t>12 Oct.</t>
  </si>
  <si>
    <t>Fiesta Nacional de España (Hispanidad)  ·  Festivo nacional</t>
  </si>
  <si>
    <t>JAVI</t>
  </si>
  <si>
    <t>JOSE</t>
  </si>
  <si>
    <t>JOSE LUIS</t>
  </si>
  <si>
    <t>ALBERTO</t>
  </si>
  <si>
    <t>MOLINERO</t>
  </si>
  <si>
    <t>NOVIEMBRE 2026</t>
  </si>
  <si>
    <t>2 Nov.</t>
  </si>
  <si>
    <t>Todos los Santos (trasladado del dom. 1)  ·  Festivo Andalucía</t>
  </si>
  <si>
    <t>DICIEMBRE 2026</t>
  </si>
  <si>
    <t>7 Dic.</t>
  </si>
  <si>
    <t>Día de la Constitución (trasladado del dom. 6)  ·  Festivo Andalucía</t>
  </si>
  <si>
    <t>8 Dic.</t>
  </si>
  <si>
    <t>Inmaculada Concepción  ·  Festivo nacional</t>
  </si>
  <si>
    <t>24 Dic.</t>
  </si>
  <si>
    <t>Nochebuena  ·  RJ Jefatura</t>
  </si>
  <si>
    <t>25 Dic.</t>
  </si>
  <si>
    <t>Natividad del Señor (Navidad)  ·  Festivo nacional</t>
  </si>
  <si>
    <t>31 Dic.</t>
  </si>
  <si>
    <t>Nochevieja  ·  RJ Jefatura</t>
  </si>
  <si>
    <t>BRIGADAS TELECO – CALENDARIO DE GUARDIAS 2027</t>
  </si>
  <si>
    <t>ENERO 2027</t>
  </si>
  <si>
    <t>1 Ene.</t>
  </si>
  <si>
    <t>Año Nuevo  ·  Festivo nacional</t>
  </si>
  <si>
    <t>6 Ene.</t>
  </si>
  <si>
    <t>Epifanía del Señor (Reyes)  ·  Festivo nacional</t>
  </si>
  <si>
    <t>FEBRERO 2027</t>
  </si>
  <si>
    <t>MARZO 2027</t>
  </si>
  <si>
    <t>1 Mar.</t>
  </si>
  <si>
    <t>Día de Andalucía (trasladado del dom. 28/02)  ·  Festivo Andalucía</t>
  </si>
  <si>
    <t>25 Mar.</t>
  </si>
  <si>
    <t>Jueves Santo  ·  Festivo Andalucía</t>
  </si>
  <si>
    <t>26 Mar.</t>
  </si>
  <si>
    <t>Viernes Santo  ·  Festivo nacional</t>
  </si>
  <si>
    <t>ABRIL 2027</t>
  </si>
  <si>
    <t>14 Abr.</t>
  </si>
  <si>
    <t>Miércoles de Feria  ·  Festivo local Sevilla</t>
  </si>
  <si>
    <t>MAYO 2027</t>
  </si>
  <si>
    <t>1 May.</t>
  </si>
  <si>
    <t>Fiesta del Trabajo  ·  Festivo nacional</t>
  </si>
  <si>
    <t>27 May.</t>
  </si>
  <si>
    <t>Corpus Christi  ·  Festivo local Sevilla</t>
  </si>
  <si>
    <t>JUNIO 2027</t>
  </si>
  <si>
    <t>JULIO 2027</t>
  </si>
  <si>
    <t>AGOSTO 2027</t>
  </si>
  <si>
    <t>16 Ago.</t>
  </si>
  <si>
    <t>Asunción de la Virgen (trasladado del dom. 15)  ·  Festivo Andalucía</t>
  </si>
  <si>
    <t>SEPTIEMBRE 2027</t>
  </si>
  <si>
    <t>OCTUBRE 2027</t>
  </si>
  <si>
    <t>NOVIEMBRE 2027</t>
  </si>
  <si>
    <t>1 Nov.</t>
  </si>
  <si>
    <t>Todos los Santos  ·  Festivo nacional</t>
  </si>
  <si>
    <t>DICIEMBRE 2027</t>
  </si>
  <si>
    <t>6 Dic.</t>
  </si>
  <si>
    <t>Día de la Constitución  ·  Festivo nacional</t>
  </si>
  <si>
    <t>DÍAS DE GUARDIA</t>
  </si>
  <si>
    <t>OCT 26</t>
  </si>
  <si>
    <t>NOV 26</t>
  </si>
  <si>
    <t>DIC 26</t>
  </si>
  <si>
    <t>TOTAL 2026</t>
  </si>
  <si>
    <t>ENE 27</t>
  </si>
  <si>
    <t>FEB 27</t>
  </si>
  <si>
    <t>MAR 27</t>
  </si>
  <si>
    <t>ABR 27</t>
  </si>
  <si>
    <t>MAY 27</t>
  </si>
  <si>
    <t>JUN 27</t>
  </si>
  <si>
    <t>JUL 27</t>
  </si>
  <si>
    <t>AGO 27</t>
  </si>
  <si>
    <t>SEP 27</t>
  </si>
  <si>
    <t>OCT 27</t>
  </si>
  <si>
    <t>NOV 27</t>
  </si>
  <si>
    <t>DIC 27</t>
  </si>
  <si>
    <t>TOTAL 2027</t>
  </si>
  <si>
    <t>TOTAL</t>
  </si>
  <si>
    <t>FESTIVOS TRABAJADOS</t>
  </si>
  <si>
    <t>DIF. vs MEDIA</t>
  </si>
  <si>
    <t>Cuenta las celdas con "G" de cada fila del calendario (incluye el histórico de sep. y 1–18 oct. del modelo original).</t>
  </si>
  <si>
    <t>Diferencia final de unos días: se debe a ese histórico desigual y a que la última semana de 2027 termina el viernes 31.</t>
  </si>
  <si>
    <t>CRUCES (semanas juntos)</t>
  </si>
  <si>
    <t>–</t>
  </si>
  <si>
    <t>Número de semanas que cada pareja coincide de guardia desde el 19/10/2026 hasta el 31/12/2027 (10 parejas posibles; lo ideal es 6–7 cada una).</t>
  </si>
  <si>
    <t>FESTIVOS 2026</t>
  </si>
  <si>
    <t>12/10
Hispanidad</t>
  </si>
  <si>
    <t>02/11
Todos los Santos</t>
  </si>
  <si>
    <t>07/12
Día de la Constitución</t>
  </si>
  <si>
    <t>08/12
Inmaculada Concepción</t>
  </si>
  <si>
    <t>24/12
Nochebuena</t>
  </si>
  <si>
    <t>25/12
Navidad</t>
  </si>
  <si>
    <t>31/12
Nochevieja</t>
  </si>
  <si>
    <t>TOTAL
2026</t>
  </si>
  <si>
    <t>FESTIVOS 2027</t>
  </si>
  <si>
    <t>01/01
Año Nuevo</t>
  </si>
  <si>
    <t>06/01
Epifanía del Señor</t>
  </si>
  <si>
    <t>01/03
Día de Andalucía</t>
  </si>
  <si>
    <t>25/03
Jueves Santo</t>
  </si>
  <si>
    <t>26/03
Viernes Santo</t>
  </si>
  <si>
    <t>14/04
Miércoles de Feria</t>
  </si>
  <si>
    <t>01/05
Fiesta del Trabajo</t>
  </si>
  <si>
    <t>27/05
Corpus Christi</t>
  </si>
  <si>
    <t>16/08
Asunción de la Virgen</t>
  </si>
  <si>
    <t>01/11
Todos los Santos</t>
  </si>
  <si>
    <t>06/12
Día de la Constitución</t>
  </si>
  <si>
    <t>TOTAL
2027</t>
  </si>
  <si>
    <t>TOTAL
2026
2027</t>
  </si>
  <si>
    <t>Cuenta 1 cuando la persona tiene "G" ese día en el calendario. Fuentes: Decreto Junta de Andalucía 2026 y Decreto 84/2026 (BOJA, calendario 2027); fiestas locales de Sevilla 2027 aprobadas por el Pleno municipal. Los días RJ Jefatura (24 y 31 dic) se toman del modelo original y se asumen iguales en 2027.</t>
  </si>
  <si>
    <t>Auxiliar: 1 = de guardia esa semana (lo usa la tabla de cruces)</t>
  </si>
  <si>
    <t>SEM.</t>
  </si>
  <si>
    <t>DESDE (L)</t>
  </si>
  <si>
    <t>HASTA (D)</t>
  </si>
  <si>
    <t>EN GUARDIA</t>
  </si>
  <si>
    <t>FESTIVOS EN LA SEMANA</t>
  </si>
  <si>
    <t>2/11 Todos los Santos (trasladado del dom. 1)</t>
  </si>
  <si>
    <t>7/12 Día de la Constitución (trasladado del dom. 6) | 8/12 Inmaculada Concepción</t>
  </si>
  <si>
    <t>24/12 Nochebuena | 25/12 Natividad del Señor (Navidad)</t>
  </si>
  <si>
    <t>31/12 Nochevieja | 1/1 Año Nuevo</t>
  </si>
  <si>
    <t>6/1 Epifanía del Señor (Reyes)</t>
  </si>
  <si>
    <t>1/3 Día de Andalucía (trasladado del dom. 28/02)</t>
  </si>
  <si>
    <t>25/3 Jueves Santo | 26/3 Viernes Santo</t>
  </si>
  <si>
    <t>14/4 Miércoles de Feria</t>
  </si>
  <si>
    <t>1/5 Fiesta del Trabajo</t>
  </si>
  <si>
    <t>27/5 Corpus Christi</t>
  </si>
  <si>
    <t>16/8 Asunción de la Virgen (trasladado del dom. 15)</t>
  </si>
  <si>
    <t>12/10 Fiesta Nacional de España (Hispanidad)</t>
  </si>
  <si>
    <t>1/11 Todos los Santos</t>
  </si>
  <si>
    <t>6/12 Día de la Constitución | 8/12 Inmaculada Concepción</t>
  </si>
  <si>
    <t>31/12 Nochevieja</t>
  </si>
  <si>
    <t>Semanas de guardia de lunes a domingo, 2 personas por semana. La columna EN GUARDIA se lee del lunes de cada semana en el calendario.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</si>
</sst>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"/>
  </numFmts>
  <fonts count="20" x14ac:knownFonts="1">
    <font>
      <sz val="11"/>
      <color theme="1"/>
      <name val="Calibri"/>
      <family val="2"/>
      <charset val="1"/>
    </font>
    <font>
      <b/>
      <sz val="14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  <font>
      <b/>
      <sz val="10"/>
      <color rgb="FFFF000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i/>
      <sz val="8"/>
      <color rgb="FF808080"/>
      <name val="Calibri"/>
      <family val="2"/>
    </font>
    <font>
      <b/>
      <sz val="8"/>
      <color rgb="FFFFFFFF"/>
      <name val="Calibri"/>
      <family val="2"/>
    </font>
    <font>
      <sz val="9"/>
      <color rgb="FF808080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FCE4D6"/>
      </patternFill>
    </fill>
    <fill>
      <patternFill patternType="solid">
        <fgColor rgb="FFF4B183"/>
        <bgColor rgb="FFFF99CC"/>
      </patternFill>
    </fill>
    <fill>
      <patternFill patternType="solid">
        <fgColor rgb="FFA9D08E"/>
        <bgColor rgb="FF9DC3E6"/>
      </patternFill>
    </fill>
    <fill>
      <patternFill patternType="solid">
        <fgColor rgb="FF9DC3E6"/>
        <bgColor rgb="FFA9D08E"/>
      </patternFill>
    </fill>
    <fill>
      <patternFill patternType="solid">
        <fgColor rgb="FFFFE699"/>
        <bgColor rgb="FFFCE4D6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rgb="FFFCE4D6"/>
        <bgColor rgb="FFF2F2F2"/>
      </patternFill>
    </fill>
    <fill>
      <patternFill patternType="lightGrid">
        <fgColor theme="0" tint="-0.14996795556505021"/>
        <bgColor rgb="FFFF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1" xfId="0" applyFont="1" applyFill="1" applyBorder="1"/>
    <xf numFmtId="0" fontId="11" fillId="0" borderId="1" xfId="0" applyFont="1" applyBorder="1"/>
    <xf numFmtId="0" fontId="7" fillId="3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/>
    <xf numFmtId="0" fontId="7" fillId="4" borderId="6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2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/>
    <xf numFmtId="0" fontId="7" fillId="5" borderId="6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0" fontId="13" fillId="0" borderId="0" xfId="0" applyFont="1"/>
    <xf numFmtId="0" fontId="0" fillId="2" borderId="1" xfId="0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4" fontId="11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center"/>
    </xf>
    <xf numFmtId="14" fontId="11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left"/>
    </xf>
    <xf numFmtId="0" fontId="18" fillId="7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9" fillId="11" borderId="6" xfId="0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12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6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J31"/>
  <sheetViews>
    <sheetView showGridLines="0" tabSelected="1" zoomScaleNormal="100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baseColWidth="10" defaultColWidth="8.5703125" defaultRowHeight="15" x14ac:dyDescent="0.25"/>
  <cols>
    <col min="1" max="1" width="2" customWidth="1"/>
    <col min="2" max="2" width="12.42578125" customWidth="1"/>
    <col min="3" max="33" width="3.7109375" customWidth="1"/>
    <col min="34" max="34" width="2" customWidth="1"/>
    <col min="35" max="35" width="11" customWidth="1"/>
    <col min="36" max="36" width="62" customWidth="1"/>
  </cols>
  <sheetData>
    <row r="1" spans="2:36" ht="21.75" customHeight="1" x14ac:dyDescent="0.3">
      <c r="B1" s="1" t="s">
        <v>0</v>
      </c>
    </row>
    <row r="2" spans="2:36" x14ac:dyDescent="0.25">
      <c r="B2" s="2" t="s">
        <v>1</v>
      </c>
      <c r="C2" s="3" t="s">
        <v>2</v>
      </c>
      <c r="D2" s="4" t="s">
        <v>3</v>
      </c>
      <c r="K2" s="5" t="s">
        <v>4</v>
      </c>
      <c r="L2" s="4" t="s">
        <v>5</v>
      </c>
      <c r="S2" s="5" t="s">
        <v>6</v>
      </c>
      <c r="T2" s="4" t="s">
        <v>7</v>
      </c>
      <c r="AA2" s="6"/>
      <c r="AB2" s="4" t="s">
        <v>8</v>
      </c>
      <c r="AG2" s="120"/>
      <c r="AI2" t="s">
        <v>9</v>
      </c>
    </row>
    <row r="3" spans="2:36" x14ac:dyDescent="0.25">
      <c r="C3" s="7"/>
      <c r="D3" s="4" t="s">
        <v>10</v>
      </c>
      <c r="K3" s="8"/>
      <c r="L3" s="4" t="s">
        <v>11</v>
      </c>
      <c r="S3" s="9"/>
      <c r="T3" s="4" t="s">
        <v>12</v>
      </c>
      <c r="AA3" s="10"/>
      <c r="AB3" s="4" t="s">
        <v>13</v>
      </c>
    </row>
    <row r="5" spans="2:36" ht="15.75" thickBot="1" x14ac:dyDescent="0.3"/>
    <row r="6" spans="2:36" ht="21" customHeight="1" x14ac:dyDescent="0.25">
      <c r="B6" s="11"/>
      <c r="C6" s="138" t="s">
        <v>14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I6" s="2" t="s">
        <v>15</v>
      </c>
    </row>
    <row r="7" spans="2:36" ht="15.75" thickBot="1" x14ac:dyDescent="0.3">
      <c r="B7" s="137" t="s">
        <v>16</v>
      </c>
      <c r="C7" s="12" t="s">
        <v>17</v>
      </c>
      <c r="D7" s="12" t="s">
        <v>6</v>
      </c>
      <c r="E7" s="13" t="s">
        <v>18</v>
      </c>
      <c r="F7" s="13" t="s">
        <v>19</v>
      </c>
      <c r="G7" s="12" t="s">
        <v>20</v>
      </c>
      <c r="H7" s="12" t="s">
        <v>21</v>
      </c>
      <c r="I7" s="12" t="s">
        <v>22</v>
      </c>
      <c r="J7" s="12" t="s">
        <v>17</v>
      </c>
      <c r="K7" s="12" t="s">
        <v>6</v>
      </c>
      <c r="L7" s="13" t="s">
        <v>18</v>
      </c>
      <c r="M7" s="13" t="s">
        <v>19</v>
      </c>
      <c r="N7" s="37" t="s">
        <v>20</v>
      </c>
      <c r="O7" s="12" t="s">
        <v>21</v>
      </c>
      <c r="P7" s="12" t="s">
        <v>22</v>
      </c>
      <c r="Q7" s="12" t="s">
        <v>17</v>
      </c>
      <c r="R7" s="12" t="s">
        <v>6</v>
      </c>
      <c r="S7" s="13" t="s">
        <v>18</v>
      </c>
      <c r="T7" s="13" t="s">
        <v>19</v>
      </c>
      <c r="U7" s="12" t="s">
        <v>20</v>
      </c>
      <c r="V7" s="12" t="s">
        <v>21</v>
      </c>
      <c r="W7" s="12" t="s">
        <v>22</v>
      </c>
      <c r="X7" s="12" t="s">
        <v>17</v>
      </c>
      <c r="Y7" s="12" t="s">
        <v>6</v>
      </c>
      <c r="Z7" s="13" t="s">
        <v>18</v>
      </c>
      <c r="AA7" s="13" t="s">
        <v>19</v>
      </c>
      <c r="AB7" s="12" t="s">
        <v>20</v>
      </c>
      <c r="AC7" s="12" t="s">
        <v>21</v>
      </c>
      <c r="AD7" s="12" t="s">
        <v>22</v>
      </c>
      <c r="AE7" s="12" t="s">
        <v>17</v>
      </c>
      <c r="AF7" s="12" t="s">
        <v>6</v>
      </c>
      <c r="AG7" s="38" t="s">
        <v>18</v>
      </c>
      <c r="AI7" s="39" t="s">
        <v>23</v>
      </c>
      <c r="AJ7" s="40" t="s">
        <v>24</v>
      </c>
    </row>
    <row r="8" spans="2:36" ht="15.75" thickBot="1" x14ac:dyDescent="0.3">
      <c r="B8" s="137"/>
      <c r="C8" s="124">
        <v>1</v>
      </c>
      <c r="D8" s="124">
        <v>2</v>
      </c>
      <c r="E8" s="125">
        <v>3</v>
      </c>
      <c r="F8" s="125">
        <v>4</v>
      </c>
      <c r="G8" s="124">
        <v>5</v>
      </c>
      <c r="H8" s="124">
        <v>6</v>
      </c>
      <c r="I8" s="124">
        <v>7</v>
      </c>
      <c r="J8" s="124">
        <v>8</v>
      </c>
      <c r="K8" s="124">
        <v>9</v>
      </c>
      <c r="L8" s="125">
        <v>10</v>
      </c>
      <c r="M8" s="125">
        <v>11</v>
      </c>
      <c r="N8" s="126">
        <v>12</v>
      </c>
      <c r="O8" s="124">
        <v>13</v>
      </c>
      <c r="P8" s="124">
        <v>14</v>
      </c>
      <c r="Q8" s="124">
        <v>15</v>
      </c>
      <c r="R8" s="124">
        <v>16</v>
      </c>
      <c r="S8" s="125">
        <v>17</v>
      </c>
      <c r="T8" s="125">
        <v>18</v>
      </c>
      <c r="U8" s="124">
        <v>19</v>
      </c>
      <c r="V8" s="124">
        <v>20</v>
      </c>
      <c r="W8" s="124">
        <v>21</v>
      </c>
      <c r="X8" s="124">
        <v>22</v>
      </c>
      <c r="Y8" s="124">
        <v>23</v>
      </c>
      <c r="Z8" s="125">
        <v>24</v>
      </c>
      <c r="AA8" s="125">
        <v>25</v>
      </c>
      <c r="AB8" s="124">
        <v>26</v>
      </c>
      <c r="AC8" s="124">
        <v>27</v>
      </c>
      <c r="AD8" s="124">
        <v>28</v>
      </c>
      <c r="AE8" s="124">
        <v>29</v>
      </c>
      <c r="AF8" s="124">
        <v>30</v>
      </c>
      <c r="AG8" s="127">
        <v>31</v>
      </c>
    </row>
    <row r="9" spans="2:36" x14ac:dyDescent="0.25">
      <c r="B9" s="121" t="s">
        <v>25</v>
      </c>
      <c r="C9" s="128"/>
      <c r="D9" s="21"/>
      <c r="E9" s="43"/>
      <c r="F9" s="43"/>
      <c r="G9" s="19" t="s">
        <v>2</v>
      </c>
      <c r="H9" s="19" t="s">
        <v>2</v>
      </c>
      <c r="I9" s="19" t="s">
        <v>2</v>
      </c>
      <c r="J9" s="19" t="s">
        <v>2</v>
      </c>
      <c r="K9" s="19" t="s">
        <v>2</v>
      </c>
      <c r="L9" s="20" t="s">
        <v>2</v>
      </c>
      <c r="M9" s="20" t="s">
        <v>2</v>
      </c>
      <c r="N9" s="62" t="s">
        <v>4</v>
      </c>
      <c r="O9" s="21"/>
      <c r="P9" s="21"/>
      <c r="Q9" s="21"/>
      <c r="R9" s="21"/>
      <c r="S9" s="43"/>
      <c r="T9" s="43"/>
      <c r="U9" s="26" t="s">
        <v>2</v>
      </c>
      <c r="V9" s="26" t="s">
        <v>2</v>
      </c>
      <c r="W9" s="26" t="s">
        <v>2</v>
      </c>
      <c r="X9" s="26" t="s">
        <v>2</v>
      </c>
      <c r="Y9" s="26" t="s">
        <v>2</v>
      </c>
      <c r="Z9" s="27" t="s">
        <v>2</v>
      </c>
      <c r="AA9" s="27" t="s">
        <v>2</v>
      </c>
      <c r="AB9" s="19"/>
      <c r="AC9" s="19"/>
      <c r="AD9" s="19"/>
      <c r="AE9" s="19"/>
      <c r="AF9" s="19"/>
      <c r="AG9" s="45"/>
    </row>
    <row r="10" spans="2:36" x14ac:dyDescent="0.25">
      <c r="B10" s="122" t="s">
        <v>26</v>
      </c>
      <c r="C10" s="129" t="s">
        <v>2</v>
      </c>
      <c r="D10" s="26" t="s">
        <v>2</v>
      </c>
      <c r="E10" s="27" t="s">
        <v>2</v>
      </c>
      <c r="F10" s="27" t="s">
        <v>2</v>
      </c>
      <c r="G10" s="24"/>
      <c r="H10" s="24"/>
      <c r="I10" s="24"/>
      <c r="J10" s="24"/>
      <c r="K10" s="24"/>
      <c r="L10" s="25"/>
      <c r="M10" s="25"/>
      <c r="N10" s="67" t="s">
        <v>2</v>
      </c>
      <c r="O10" s="26" t="s">
        <v>2</v>
      </c>
      <c r="P10" s="26" t="s">
        <v>2</v>
      </c>
      <c r="Q10" s="26" t="s">
        <v>2</v>
      </c>
      <c r="R10" s="26" t="s">
        <v>2</v>
      </c>
      <c r="S10" s="27" t="s">
        <v>2</v>
      </c>
      <c r="T10" s="27" t="s">
        <v>2</v>
      </c>
      <c r="U10" s="24"/>
      <c r="V10" s="24"/>
      <c r="W10" s="24"/>
      <c r="X10" s="24"/>
      <c r="Y10" s="24"/>
      <c r="Z10" s="25"/>
      <c r="AA10" s="25"/>
      <c r="AB10" s="26" t="s">
        <v>2</v>
      </c>
      <c r="AC10" s="26" t="s">
        <v>2</v>
      </c>
      <c r="AD10" s="26" t="s">
        <v>2</v>
      </c>
      <c r="AE10" s="26" t="s">
        <v>2</v>
      </c>
      <c r="AF10" s="26" t="s">
        <v>2</v>
      </c>
      <c r="AG10" s="47" t="s">
        <v>2</v>
      </c>
    </row>
    <row r="11" spans="2:36" x14ac:dyDescent="0.25">
      <c r="B11" s="122" t="s">
        <v>27</v>
      </c>
      <c r="C11" s="129" t="s">
        <v>2</v>
      </c>
      <c r="D11" s="26" t="s">
        <v>2</v>
      </c>
      <c r="E11" s="27" t="s">
        <v>2</v>
      </c>
      <c r="F11" s="27" t="s">
        <v>2</v>
      </c>
      <c r="G11" s="26" t="s">
        <v>2</v>
      </c>
      <c r="H11" s="24"/>
      <c r="I11" s="24"/>
      <c r="J11" s="24"/>
      <c r="K11" s="24"/>
      <c r="L11" s="25"/>
      <c r="M11" s="25"/>
      <c r="N11" s="46" t="s">
        <v>4</v>
      </c>
      <c r="O11" s="24"/>
      <c r="P11" s="24"/>
      <c r="Q11" s="24"/>
      <c r="R11" s="24"/>
      <c r="S11" s="120"/>
      <c r="T11" s="120"/>
      <c r="U11" s="26"/>
      <c r="V11" s="26"/>
      <c r="W11" s="26"/>
      <c r="X11" s="26"/>
      <c r="Y11" s="26"/>
      <c r="Z11" s="27"/>
      <c r="AA11" s="27"/>
      <c r="AB11" s="26" t="s">
        <v>2</v>
      </c>
      <c r="AC11" s="26" t="s">
        <v>2</v>
      </c>
      <c r="AD11" s="26" t="s">
        <v>2</v>
      </c>
      <c r="AE11" s="26" t="s">
        <v>2</v>
      </c>
      <c r="AF11" s="26" t="s">
        <v>2</v>
      </c>
      <c r="AG11" s="27" t="s">
        <v>2</v>
      </c>
    </row>
    <row r="12" spans="2:36" x14ac:dyDescent="0.25">
      <c r="B12" s="122" t="s">
        <v>28</v>
      </c>
      <c r="C12" s="130"/>
      <c r="D12" s="24"/>
      <c r="E12" s="25"/>
      <c r="F12" s="25"/>
      <c r="G12" s="24"/>
      <c r="H12" s="24"/>
      <c r="I12" s="24"/>
      <c r="J12" s="24"/>
      <c r="K12" s="24"/>
      <c r="L12" s="25"/>
      <c r="M12" s="25"/>
      <c r="N12" s="67" t="s">
        <v>2</v>
      </c>
      <c r="O12" s="26" t="s">
        <v>2</v>
      </c>
      <c r="P12" s="26" t="s">
        <v>2</v>
      </c>
      <c r="Q12" s="26" t="s">
        <v>2</v>
      </c>
      <c r="R12" s="26" t="s">
        <v>2</v>
      </c>
      <c r="S12" s="27" t="s">
        <v>2</v>
      </c>
      <c r="T12" s="27" t="s">
        <v>2</v>
      </c>
      <c r="U12" s="24"/>
      <c r="V12" s="24"/>
      <c r="W12" s="24"/>
      <c r="X12" s="24"/>
      <c r="Y12" s="24"/>
      <c r="Z12" s="25"/>
      <c r="AA12" s="25"/>
      <c r="AB12" s="24"/>
      <c r="AC12" s="24"/>
      <c r="AD12" s="24"/>
      <c r="AE12" s="24"/>
      <c r="AF12" s="24"/>
      <c r="AG12" s="48"/>
    </row>
    <row r="13" spans="2:36" ht="15.75" thickBot="1" x14ac:dyDescent="0.3">
      <c r="B13" s="123" t="s">
        <v>29</v>
      </c>
      <c r="C13" s="131"/>
      <c r="D13" s="32"/>
      <c r="E13" s="33"/>
      <c r="F13" s="33"/>
      <c r="G13" s="32"/>
      <c r="H13" s="34" t="s">
        <v>2</v>
      </c>
      <c r="I13" s="34" t="s">
        <v>2</v>
      </c>
      <c r="J13" s="34" t="s">
        <v>2</v>
      </c>
      <c r="K13" s="34" t="s">
        <v>2</v>
      </c>
      <c r="L13" s="35" t="s">
        <v>2</v>
      </c>
      <c r="M13" s="35" t="s">
        <v>2</v>
      </c>
      <c r="N13" s="75" t="s">
        <v>4</v>
      </c>
      <c r="O13" s="32"/>
      <c r="P13" s="32"/>
      <c r="Q13" s="32"/>
      <c r="R13" s="32"/>
      <c r="S13" s="132"/>
      <c r="T13" s="132"/>
      <c r="U13" s="34" t="s">
        <v>2</v>
      </c>
      <c r="V13" s="34" t="s">
        <v>2</v>
      </c>
      <c r="W13" s="34" t="s">
        <v>2</v>
      </c>
      <c r="X13" s="34" t="s">
        <v>2</v>
      </c>
      <c r="Y13" s="34" t="s">
        <v>2</v>
      </c>
      <c r="Z13" s="35" t="s">
        <v>2</v>
      </c>
      <c r="AA13" s="35" t="s">
        <v>2</v>
      </c>
      <c r="AB13" s="32"/>
      <c r="AC13" s="32"/>
      <c r="AD13" s="32"/>
      <c r="AE13" s="32"/>
      <c r="AF13" s="32"/>
      <c r="AG13" s="50"/>
    </row>
    <row r="14" spans="2:36" ht="15.75" thickBot="1" x14ac:dyDescent="0.3"/>
    <row r="15" spans="2:36" ht="21" customHeight="1" x14ac:dyDescent="0.25">
      <c r="B15" s="11"/>
      <c r="C15" s="138" t="s">
        <v>30</v>
      </c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I15" s="2" t="s">
        <v>15</v>
      </c>
    </row>
    <row r="16" spans="2:36" x14ac:dyDescent="0.25">
      <c r="B16" s="137" t="s">
        <v>16</v>
      </c>
      <c r="C16" s="13" t="s">
        <v>19</v>
      </c>
      <c r="D16" s="51" t="s">
        <v>20</v>
      </c>
      <c r="E16" s="12" t="s">
        <v>21</v>
      </c>
      <c r="F16" s="12" t="s">
        <v>22</v>
      </c>
      <c r="G16" s="12" t="s">
        <v>17</v>
      </c>
      <c r="H16" s="12" t="s">
        <v>6</v>
      </c>
      <c r="I16" s="13" t="s">
        <v>18</v>
      </c>
      <c r="J16" s="13" t="s">
        <v>19</v>
      </c>
      <c r="K16" s="12" t="s">
        <v>20</v>
      </c>
      <c r="L16" s="12" t="s">
        <v>21</v>
      </c>
      <c r="M16" s="12" t="s">
        <v>22</v>
      </c>
      <c r="N16" s="12" t="s">
        <v>17</v>
      </c>
      <c r="O16" s="12" t="s">
        <v>6</v>
      </c>
      <c r="P16" s="13" t="s">
        <v>18</v>
      </c>
      <c r="Q16" s="13" t="s">
        <v>19</v>
      </c>
      <c r="R16" s="12" t="s">
        <v>20</v>
      </c>
      <c r="S16" s="12" t="s">
        <v>21</v>
      </c>
      <c r="T16" s="12" t="s">
        <v>22</v>
      </c>
      <c r="U16" s="12" t="s">
        <v>17</v>
      </c>
      <c r="V16" s="12" t="s">
        <v>6</v>
      </c>
      <c r="W16" s="13" t="s">
        <v>18</v>
      </c>
      <c r="X16" s="13" t="s">
        <v>19</v>
      </c>
      <c r="Y16" s="12" t="s">
        <v>20</v>
      </c>
      <c r="Z16" s="12" t="s">
        <v>21</v>
      </c>
      <c r="AA16" s="12" t="s">
        <v>22</v>
      </c>
      <c r="AB16" s="12" t="s">
        <v>17</v>
      </c>
      <c r="AC16" s="12" t="s">
        <v>6</v>
      </c>
      <c r="AD16" s="13" t="s">
        <v>18</v>
      </c>
      <c r="AE16" s="13" t="s">
        <v>19</v>
      </c>
      <c r="AF16" s="14" t="s">
        <v>20</v>
      </c>
      <c r="AI16" s="52" t="s">
        <v>31</v>
      </c>
      <c r="AJ16" s="40" t="s">
        <v>32</v>
      </c>
    </row>
    <row r="17" spans="2:36" x14ac:dyDescent="0.25">
      <c r="B17" s="137"/>
      <c r="C17" s="16">
        <v>1</v>
      </c>
      <c r="D17" s="53">
        <v>2</v>
      </c>
      <c r="E17" s="15">
        <v>3</v>
      </c>
      <c r="F17" s="15">
        <v>4</v>
      </c>
      <c r="G17" s="15">
        <v>5</v>
      </c>
      <c r="H17" s="15">
        <v>6</v>
      </c>
      <c r="I17" s="16">
        <v>7</v>
      </c>
      <c r="J17" s="16">
        <v>8</v>
      </c>
      <c r="K17" s="15">
        <v>9</v>
      </c>
      <c r="L17" s="15">
        <v>10</v>
      </c>
      <c r="M17" s="15">
        <v>11</v>
      </c>
      <c r="N17" s="15">
        <v>12</v>
      </c>
      <c r="O17" s="15">
        <v>13</v>
      </c>
      <c r="P17" s="16">
        <v>14</v>
      </c>
      <c r="Q17" s="16">
        <v>15</v>
      </c>
      <c r="R17" s="15">
        <v>16</v>
      </c>
      <c r="S17" s="15">
        <v>17</v>
      </c>
      <c r="T17" s="15">
        <v>18</v>
      </c>
      <c r="U17" s="15">
        <v>19</v>
      </c>
      <c r="V17" s="15">
        <v>20</v>
      </c>
      <c r="W17" s="16">
        <v>21</v>
      </c>
      <c r="X17" s="16">
        <v>22</v>
      </c>
      <c r="Y17" s="15">
        <v>23</v>
      </c>
      <c r="Z17" s="15">
        <v>24</v>
      </c>
      <c r="AA17" s="15">
        <v>25</v>
      </c>
      <c r="AB17" s="15">
        <v>26</v>
      </c>
      <c r="AC17" s="15">
        <v>27</v>
      </c>
      <c r="AD17" s="16">
        <v>28</v>
      </c>
      <c r="AE17" s="16">
        <v>29</v>
      </c>
      <c r="AF17" s="17">
        <v>30</v>
      </c>
    </row>
    <row r="18" spans="2:36" x14ac:dyDescent="0.25">
      <c r="B18" s="18" t="s">
        <v>25</v>
      </c>
      <c r="C18" s="20"/>
      <c r="D18" s="54" t="s">
        <v>4</v>
      </c>
      <c r="E18" s="21"/>
      <c r="F18" s="21"/>
      <c r="G18" s="21"/>
      <c r="H18" s="21"/>
      <c r="I18" s="43"/>
      <c r="J18" s="43"/>
      <c r="K18" s="19" t="s">
        <v>2</v>
      </c>
      <c r="L18" s="19" t="s">
        <v>2</v>
      </c>
      <c r="M18" s="19" t="s">
        <v>2</v>
      </c>
      <c r="N18" s="19" t="s">
        <v>2</v>
      </c>
      <c r="O18" s="19" t="s">
        <v>2</v>
      </c>
      <c r="P18" s="20" t="s">
        <v>2</v>
      </c>
      <c r="Q18" s="20" t="s">
        <v>2</v>
      </c>
      <c r="R18" s="21"/>
      <c r="S18" s="21"/>
      <c r="T18" s="21"/>
      <c r="U18" s="21"/>
      <c r="V18" s="21"/>
      <c r="W18" s="43"/>
      <c r="X18" s="43"/>
      <c r="Y18" s="19" t="s">
        <v>2</v>
      </c>
      <c r="Z18" s="19" t="s">
        <v>2</v>
      </c>
      <c r="AA18" s="19" t="s">
        <v>2</v>
      </c>
      <c r="AB18" s="19" t="s">
        <v>2</v>
      </c>
      <c r="AC18" s="19" t="s">
        <v>2</v>
      </c>
      <c r="AD18" s="20" t="s">
        <v>2</v>
      </c>
      <c r="AE18" s="20" t="s">
        <v>2</v>
      </c>
      <c r="AF18" s="22"/>
    </row>
    <row r="19" spans="2:36" x14ac:dyDescent="0.25">
      <c r="B19" s="23" t="s">
        <v>26</v>
      </c>
      <c r="C19" s="27" t="s">
        <v>2</v>
      </c>
      <c r="D19" s="55" t="s">
        <v>4</v>
      </c>
      <c r="E19" s="24"/>
      <c r="F19" s="24"/>
      <c r="G19" s="24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6" t="s">
        <v>2</v>
      </c>
      <c r="S19" s="26" t="s">
        <v>2</v>
      </c>
      <c r="T19" s="26" t="s">
        <v>2</v>
      </c>
      <c r="U19" s="26" t="s">
        <v>2</v>
      </c>
      <c r="V19" s="26" t="s">
        <v>2</v>
      </c>
      <c r="W19" s="27" t="s">
        <v>2</v>
      </c>
      <c r="X19" s="27" t="s">
        <v>2</v>
      </c>
      <c r="Y19" s="24"/>
      <c r="Z19" s="24"/>
      <c r="AA19" s="24"/>
      <c r="AB19" s="24"/>
      <c r="AC19" s="24"/>
      <c r="AD19" s="25"/>
      <c r="AE19" s="25"/>
      <c r="AF19" s="28" t="s">
        <v>2</v>
      </c>
    </row>
    <row r="20" spans="2:36" x14ac:dyDescent="0.25">
      <c r="B20" s="23" t="s">
        <v>27</v>
      </c>
      <c r="C20" s="27" t="s">
        <v>2</v>
      </c>
      <c r="D20" s="55" t="s">
        <v>4</v>
      </c>
      <c r="E20" s="24"/>
      <c r="F20" s="24"/>
      <c r="G20" s="24"/>
      <c r="H20" s="24"/>
      <c r="I20" s="25"/>
      <c r="J20" s="25"/>
      <c r="K20" s="26" t="s">
        <v>2</v>
      </c>
      <c r="L20" s="26" t="s">
        <v>2</v>
      </c>
      <c r="M20" s="26" t="s">
        <v>2</v>
      </c>
      <c r="N20" s="26" t="s">
        <v>2</v>
      </c>
      <c r="O20" s="26" t="s">
        <v>2</v>
      </c>
      <c r="P20" s="27" t="s">
        <v>2</v>
      </c>
      <c r="Q20" s="27" t="s">
        <v>2</v>
      </c>
      <c r="R20" s="24"/>
      <c r="S20" s="24"/>
      <c r="T20" s="24"/>
      <c r="U20" s="24"/>
      <c r="V20" s="24"/>
      <c r="W20" s="25"/>
      <c r="X20" s="25"/>
      <c r="Y20" s="24"/>
      <c r="Z20" s="24"/>
      <c r="AA20" s="24"/>
      <c r="AB20" s="24"/>
      <c r="AC20" s="24"/>
      <c r="AD20" s="25"/>
      <c r="AE20" s="25"/>
      <c r="AF20" s="28" t="s">
        <v>2</v>
      </c>
    </row>
    <row r="21" spans="2:36" x14ac:dyDescent="0.25">
      <c r="B21" s="23" t="s">
        <v>28</v>
      </c>
      <c r="C21" s="25"/>
      <c r="D21" s="56" t="s">
        <v>2</v>
      </c>
      <c r="E21" s="26" t="s">
        <v>2</v>
      </c>
      <c r="F21" s="26" t="s">
        <v>2</v>
      </c>
      <c r="G21" s="26" t="s">
        <v>2</v>
      </c>
      <c r="H21" s="26" t="s">
        <v>2</v>
      </c>
      <c r="I21" s="27" t="s">
        <v>2</v>
      </c>
      <c r="J21" s="27" t="s">
        <v>2</v>
      </c>
      <c r="K21" s="24"/>
      <c r="L21" s="24"/>
      <c r="M21" s="24"/>
      <c r="N21" s="24"/>
      <c r="O21" s="24"/>
      <c r="P21" s="120"/>
      <c r="Q21" s="25"/>
      <c r="R21" s="24"/>
      <c r="S21" s="24"/>
      <c r="T21" s="24"/>
      <c r="U21" s="24"/>
      <c r="V21" s="24"/>
      <c r="W21" s="120"/>
      <c r="X21" s="25"/>
      <c r="Y21" s="26" t="s">
        <v>2</v>
      </c>
      <c r="Z21" s="26" t="s">
        <v>2</v>
      </c>
      <c r="AA21" s="26" t="s">
        <v>2</v>
      </c>
      <c r="AB21" s="26" t="s">
        <v>2</v>
      </c>
      <c r="AC21" s="26" t="s">
        <v>2</v>
      </c>
      <c r="AD21" s="27" t="s">
        <v>2</v>
      </c>
      <c r="AE21" s="27" t="s">
        <v>2</v>
      </c>
      <c r="AF21" s="30"/>
    </row>
    <row r="22" spans="2:36" ht="15.75" thickBot="1" x14ac:dyDescent="0.3">
      <c r="B22" s="31" t="s">
        <v>29</v>
      </c>
      <c r="C22" s="33"/>
      <c r="D22" s="57" t="s">
        <v>2</v>
      </c>
      <c r="E22" s="34" t="s">
        <v>2</v>
      </c>
      <c r="F22" s="34" t="s">
        <v>2</v>
      </c>
      <c r="G22" s="34" t="s">
        <v>2</v>
      </c>
      <c r="H22" s="34" t="s">
        <v>2</v>
      </c>
      <c r="I22" s="35" t="s">
        <v>2</v>
      </c>
      <c r="J22" s="35" t="s">
        <v>2</v>
      </c>
      <c r="K22" s="32"/>
      <c r="L22" s="32"/>
      <c r="M22" s="32"/>
      <c r="N22" s="32"/>
      <c r="O22" s="32"/>
      <c r="P22" s="33"/>
      <c r="Q22" s="33"/>
      <c r="R22" s="34" t="s">
        <v>2</v>
      </c>
      <c r="S22" s="34" t="s">
        <v>2</v>
      </c>
      <c r="T22" s="34" t="s">
        <v>2</v>
      </c>
      <c r="U22" s="34" t="s">
        <v>2</v>
      </c>
      <c r="V22" s="34" t="s">
        <v>2</v>
      </c>
      <c r="W22" s="120" t="s">
        <v>2</v>
      </c>
      <c r="X22" s="35" t="s">
        <v>2</v>
      </c>
      <c r="Y22" s="32"/>
      <c r="Z22" s="32"/>
      <c r="AA22" s="32"/>
      <c r="AB22" s="32"/>
      <c r="AC22" s="32"/>
      <c r="AD22" s="33"/>
      <c r="AE22" s="33"/>
      <c r="AF22" s="36"/>
    </row>
    <row r="23" spans="2:36" ht="15.75" thickBot="1" x14ac:dyDescent="0.3"/>
    <row r="24" spans="2:36" ht="21" customHeight="1" x14ac:dyDescent="0.25">
      <c r="B24" s="11"/>
      <c r="C24" s="138" t="s">
        <v>33</v>
      </c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I24" s="2" t="s">
        <v>15</v>
      </c>
    </row>
    <row r="25" spans="2:36" x14ac:dyDescent="0.25">
      <c r="B25" s="137" t="s">
        <v>16</v>
      </c>
      <c r="C25" s="12" t="s">
        <v>21</v>
      </c>
      <c r="D25" s="12" t="s">
        <v>22</v>
      </c>
      <c r="E25" s="12" t="s">
        <v>17</v>
      </c>
      <c r="F25" s="12" t="s">
        <v>6</v>
      </c>
      <c r="G25" s="13" t="s">
        <v>18</v>
      </c>
      <c r="H25" s="13" t="s">
        <v>19</v>
      </c>
      <c r="I25" s="51" t="s">
        <v>20</v>
      </c>
      <c r="J25" s="37" t="s">
        <v>21</v>
      </c>
      <c r="K25" s="12" t="s">
        <v>22</v>
      </c>
      <c r="L25" s="12" t="s">
        <v>17</v>
      </c>
      <c r="M25" s="12" t="s">
        <v>6</v>
      </c>
      <c r="N25" s="13" t="s">
        <v>18</v>
      </c>
      <c r="O25" s="13" t="s">
        <v>19</v>
      </c>
      <c r="P25" s="12" t="s">
        <v>20</v>
      </c>
      <c r="Q25" s="12" t="s">
        <v>21</v>
      </c>
      <c r="R25" s="12" t="s">
        <v>22</v>
      </c>
      <c r="S25" s="12" t="s">
        <v>17</v>
      </c>
      <c r="T25" s="12" t="s">
        <v>6</v>
      </c>
      <c r="U25" s="13" t="s">
        <v>18</v>
      </c>
      <c r="V25" s="13" t="s">
        <v>19</v>
      </c>
      <c r="W25" s="12" t="s">
        <v>20</v>
      </c>
      <c r="X25" s="12" t="s">
        <v>21</v>
      </c>
      <c r="Y25" s="12" t="s">
        <v>22</v>
      </c>
      <c r="Z25" s="58" t="s">
        <v>17</v>
      </c>
      <c r="AA25" s="37" t="s">
        <v>6</v>
      </c>
      <c r="AB25" s="13" t="s">
        <v>18</v>
      </c>
      <c r="AC25" s="13" t="s">
        <v>19</v>
      </c>
      <c r="AD25" s="12" t="s">
        <v>20</v>
      </c>
      <c r="AE25" s="12" t="s">
        <v>21</v>
      </c>
      <c r="AF25" s="12" t="s">
        <v>22</v>
      </c>
      <c r="AG25" s="59" t="s">
        <v>17</v>
      </c>
      <c r="AI25" s="52" t="s">
        <v>34</v>
      </c>
      <c r="AJ25" s="40" t="s">
        <v>35</v>
      </c>
    </row>
    <row r="26" spans="2:36" x14ac:dyDescent="0.25">
      <c r="B26" s="137"/>
      <c r="C26" s="15">
        <v>1</v>
      </c>
      <c r="D26" s="15">
        <v>2</v>
      </c>
      <c r="E26" s="15">
        <v>3</v>
      </c>
      <c r="F26" s="15">
        <v>4</v>
      </c>
      <c r="G26" s="16">
        <v>5</v>
      </c>
      <c r="H26" s="16">
        <v>6</v>
      </c>
      <c r="I26" s="53">
        <v>7</v>
      </c>
      <c r="J26" s="41">
        <v>8</v>
      </c>
      <c r="K26" s="15">
        <v>9</v>
      </c>
      <c r="L26" s="15">
        <v>10</v>
      </c>
      <c r="M26" s="15">
        <v>11</v>
      </c>
      <c r="N26" s="16">
        <v>12</v>
      </c>
      <c r="O26" s="16">
        <v>13</v>
      </c>
      <c r="P26" s="15">
        <v>14</v>
      </c>
      <c r="Q26" s="15">
        <v>15</v>
      </c>
      <c r="R26" s="15">
        <v>16</v>
      </c>
      <c r="S26" s="15">
        <v>17</v>
      </c>
      <c r="T26" s="15">
        <v>18</v>
      </c>
      <c r="U26" s="16">
        <v>19</v>
      </c>
      <c r="V26" s="16">
        <v>20</v>
      </c>
      <c r="W26" s="15">
        <v>21</v>
      </c>
      <c r="X26" s="15">
        <v>22</v>
      </c>
      <c r="Y26" s="15">
        <v>23</v>
      </c>
      <c r="Z26" s="60">
        <v>24</v>
      </c>
      <c r="AA26" s="41">
        <v>25</v>
      </c>
      <c r="AB26" s="16">
        <v>26</v>
      </c>
      <c r="AC26" s="16">
        <v>27</v>
      </c>
      <c r="AD26" s="15">
        <v>28</v>
      </c>
      <c r="AE26" s="15">
        <v>29</v>
      </c>
      <c r="AF26" s="15">
        <v>30</v>
      </c>
      <c r="AG26" s="61">
        <v>31</v>
      </c>
      <c r="AI26" s="39" t="s">
        <v>36</v>
      </c>
      <c r="AJ26" s="40" t="s">
        <v>37</v>
      </c>
    </row>
    <row r="27" spans="2:36" x14ac:dyDescent="0.25">
      <c r="B27" s="18" t="s">
        <v>25</v>
      </c>
      <c r="C27" s="21"/>
      <c r="D27" s="21"/>
      <c r="E27" s="21"/>
      <c r="F27" s="21"/>
      <c r="G27" s="43"/>
      <c r="H27" s="43"/>
      <c r="I27" s="54" t="s">
        <v>4</v>
      </c>
      <c r="J27" s="62" t="s">
        <v>4</v>
      </c>
      <c r="K27" s="21"/>
      <c r="L27" s="21"/>
      <c r="M27" s="21"/>
      <c r="N27" s="43"/>
      <c r="O27" s="43"/>
      <c r="P27" s="19" t="s">
        <v>2</v>
      </c>
      <c r="Q27" s="19" t="s">
        <v>2</v>
      </c>
      <c r="R27" s="19" t="s">
        <v>2</v>
      </c>
      <c r="S27" s="19" t="s">
        <v>2</v>
      </c>
      <c r="T27" s="19" t="s">
        <v>2</v>
      </c>
      <c r="U27" s="20" t="s">
        <v>2</v>
      </c>
      <c r="V27" s="20" t="s">
        <v>2</v>
      </c>
      <c r="W27" s="21"/>
      <c r="X27" s="21"/>
      <c r="Y27" s="21"/>
      <c r="Z27" s="63"/>
      <c r="AA27" s="62" t="s">
        <v>4</v>
      </c>
      <c r="AB27" s="43"/>
      <c r="AC27" s="43"/>
      <c r="AD27" s="19" t="s">
        <v>2</v>
      </c>
      <c r="AE27" s="19" t="s">
        <v>2</v>
      </c>
      <c r="AF27" s="19" t="s">
        <v>2</v>
      </c>
      <c r="AG27" s="64" t="s">
        <v>2</v>
      </c>
      <c r="AI27" s="65" t="s">
        <v>38</v>
      </c>
      <c r="AJ27" s="40" t="s">
        <v>39</v>
      </c>
    </row>
    <row r="28" spans="2:36" x14ac:dyDescent="0.25">
      <c r="B28" s="23" t="s">
        <v>26</v>
      </c>
      <c r="C28" s="26" t="s">
        <v>2</v>
      </c>
      <c r="D28" s="26" t="s">
        <v>2</v>
      </c>
      <c r="E28" s="26" t="s">
        <v>2</v>
      </c>
      <c r="F28" s="26" t="s">
        <v>2</v>
      </c>
      <c r="G28" s="27" t="s">
        <v>2</v>
      </c>
      <c r="H28" s="27" t="s">
        <v>2</v>
      </c>
      <c r="I28" s="55" t="s">
        <v>4</v>
      </c>
      <c r="J28" s="46" t="s">
        <v>4</v>
      </c>
      <c r="K28" s="24"/>
      <c r="L28" s="24"/>
      <c r="M28" s="24"/>
      <c r="N28" s="25"/>
      <c r="O28" s="25"/>
      <c r="P28" s="24"/>
      <c r="Q28" s="24"/>
      <c r="R28" s="24"/>
      <c r="S28" s="24"/>
      <c r="T28" s="24"/>
      <c r="U28" s="25"/>
      <c r="V28" s="25"/>
      <c r="W28" s="26" t="s">
        <v>2</v>
      </c>
      <c r="X28" s="26" t="s">
        <v>2</v>
      </c>
      <c r="Y28" s="26" t="s">
        <v>2</v>
      </c>
      <c r="Z28" s="66" t="s">
        <v>2</v>
      </c>
      <c r="AA28" s="67" t="s">
        <v>2</v>
      </c>
      <c r="AB28" s="27" t="s">
        <v>2</v>
      </c>
      <c r="AC28" s="27" t="s">
        <v>2</v>
      </c>
      <c r="AD28" s="24"/>
      <c r="AE28" s="24"/>
      <c r="AF28" s="24"/>
      <c r="AG28" s="68"/>
      <c r="AI28" s="39" t="s">
        <v>40</v>
      </c>
      <c r="AJ28" s="40" t="s">
        <v>41</v>
      </c>
    </row>
    <row r="29" spans="2:36" x14ac:dyDescent="0.25">
      <c r="B29" s="23" t="s">
        <v>27</v>
      </c>
      <c r="C29" s="26" t="s">
        <v>2</v>
      </c>
      <c r="D29" s="26" t="s">
        <v>2</v>
      </c>
      <c r="E29" s="26" t="s">
        <v>2</v>
      </c>
      <c r="F29" s="26" t="s">
        <v>2</v>
      </c>
      <c r="G29" s="27" t="s">
        <v>2</v>
      </c>
      <c r="H29" s="27" t="s">
        <v>2</v>
      </c>
      <c r="I29" s="55" t="s">
        <v>4</v>
      </c>
      <c r="J29" s="46" t="s">
        <v>4</v>
      </c>
      <c r="K29" s="24"/>
      <c r="L29" s="24"/>
      <c r="M29" s="24"/>
      <c r="N29" s="25"/>
      <c r="O29" s="25"/>
      <c r="P29" s="26" t="s">
        <v>2</v>
      </c>
      <c r="Q29" s="26" t="s">
        <v>2</v>
      </c>
      <c r="R29" s="26" t="s">
        <v>2</v>
      </c>
      <c r="S29" s="26" t="s">
        <v>2</v>
      </c>
      <c r="T29" s="26" t="s">
        <v>2</v>
      </c>
      <c r="U29" s="27" t="s">
        <v>2</v>
      </c>
      <c r="V29" s="27" t="s">
        <v>2</v>
      </c>
      <c r="W29" s="24"/>
      <c r="X29" s="24"/>
      <c r="Y29" s="24"/>
      <c r="Z29" s="69"/>
      <c r="AA29" s="46" t="s">
        <v>4</v>
      </c>
      <c r="AB29" s="25"/>
      <c r="AC29" s="25"/>
      <c r="AD29" s="26" t="s">
        <v>2</v>
      </c>
      <c r="AE29" s="26" t="s">
        <v>2</v>
      </c>
      <c r="AF29" s="26" t="s">
        <v>2</v>
      </c>
      <c r="AG29" s="70" t="s">
        <v>2</v>
      </c>
      <c r="AI29" s="65" t="s">
        <v>42</v>
      </c>
      <c r="AJ29" s="40" t="s">
        <v>43</v>
      </c>
    </row>
    <row r="30" spans="2:36" x14ac:dyDescent="0.25">
      <c r="B30" s="23" t="s">
        <v>28</v>
      </c>
      <c r="C30" s="24"/>
      <c r="D30" s="24"/>
      <c r="E30" s="24"/>
      <c r="F30" s="24"/>
      <c r="G30" s="25"/>
      <c r="H30" s="25"/>
      <c r="I30" s="56" t="s">
        <v>2</v>
      </c>
      <c r="J30" s="67" t="s">
        <v>2</v>
      </c>
      <c r="K30" s="26" t="s">
        <v>2</v>
      </c>
      <c r="L30" s="26" t="s">
        <v>2</v>
      </c>
      <c r="M30" s="26" t="s">
        <v>2</v>
      </c>
      <c r="N30" s="27" t="s">
        <v>2</v>
      </c>
      <c r="O30" s="27" t="s">
        <v>2</v>
      </c>
      <c r="P30" s="24"/>
      <c r="Q30" s="24"/>
      <c r="R30" s="24"/>
      <c r="S30" s="24"/>
      <c r="T30" s="29" t="s">
        <v>6</v>
      </c>
      <c r="U30" s="71" t="s">
        <v>6</v>
      </c>
      <c r="V30" s="71" t="s">
        <v>6</v>
      </c>
      <c r="W30" s="29" t="s">
        <v>6</v>
      </c>
      <c r="X30" s="29" t="s">
        <v>6</v>
      </c>
      <c r="Y30" s="29" t="s">
        <v>6</v>
      </c>
      <c r="Z30" s="69"/>
      <c r="AA30" s="46" t="s">
        <v>4</v>
      </c>
      <c r="AB30" s="71" t="s">
        <v>6</v>
      </c>
      <c r="AC30" s="71" t="s">
        <v>6</v>
      </c>
      <c r="AD30" s="29" t="s">
        <v>6</v>
      </c>
      <c r="AE30" s="29" t="s">
        <v>6</v>
      </c>
      <c r="AF30" s="29" t="s">
        <v>6</v>
      </c>
      <c r="AG30" s="68"/>
    </row>
    <row r="31" spans="2:36" x14ac:dyDescent="0.25">
      <c r="B31" s="31" t="s">
        <v>29</v>
      </c>
      <c r="C31" s="32"/>
      <c r="D31" s="32"/>
      <c r="E31" s="32"/>
      <c r="F31" s="32"/>
      <c r="G31" s="33"/>
      <c r="H31" s="33"/>
      <c r="I31" s="57" t="s">
        <v>2</v>
      </c>
      <c r="J31" s="49" t="s">
        <v>2</v>
      </c>
      <c r="K31" s="34" t="s">
        <v>2</v>
      </c>
      <c r="L31" s="34" t="s">
        <v>2</v>
      </c>
      <c r="M31" s="34" t="s">
        <v>2</v>
      </c>
      <c r="N31" s="35" t="s">
        <v>2</v>
      </c>
      <c r="O31" s="35" t="s">
        <v>2</v>
      </c>
      <c r="P31" s="32"/>
      <c r="Q31" s="32"/>
      <c r="R31" s="32"/>
      <c r="S31" s="32"/>
      <c r="T31" s="32"/>
      <c r="U31" s="33"/>
      <c r="V31" s="33"/>
      <c r="W31" s="34" t="s">
        <v>2</v>
      </c>
      <c r="X31" s="34" t="s">
        <v>2</v>
      </c>
      <c r="Y31" s="34" t="s">
        <v>2</v>
      </c>
      <c r="Z31" s="72" t="s">
        <v>2</v>
      </c>
      <c r="AA31" s="49" t="s">
        <v>2</v>
      </c>
      <c r="AB31" s="35" t="s">
        <v>2</v>
      </c>
      <c r="AC31" s="35" t="s">
        <v>2</v>
      </c>
      <c r="AD31" s="32"/>
      <c r="AE31" s="32"/>
      <c r="AF31" s="32"/>
      <c r="AG31" s="73"/>
    </row>
  </sheetData>
  <mergeCells count="6">
    <mergeCell ref="B16:B17"/>
    <mergeCell ref="C24:AG24"/>
    <mergeCell ref="B25:B26"/>
    <mergeCell ref="C6:AG6"/>
    <mergeCell ref="B7:B8"/>
    <mergeCell ref="C15:AF15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J111"/>
  <sheetViews>
    <sheetView showGridLines="0"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C1" sqref="C1"/>
    </sheetView>
  </sheetViews>
  <sheetFormatPr baseColWidth="10" defaultColWidth="8.5703125" defaultRowHeight="15" x14ac:dyDescent="0.25"/>
  <cols>
    <col min="1" max="1" width="2" customWidth="1"/>
    <col min="2" max="2" width="12.42578125" customWidth="1"/>
    <col min="3" max="33" width="3.7109375" customWidth="1"/>
    <col min="34" max="34" width="2" customWidth="1"/>
    <col min="35" max="35" width="11" customWidth="1"/>
    <col min="36" max="36" width="62" customWidth="1"/>
  </cols>
  <sheetData>
    <row r="1" spans="2:36" ht="21.75" customHeight="1" x14ac:dyDescent="0.3">
      <c r="B1" s="1" t="s">
        <v>44</v>
      </c>
    </row>
    <row r="2" spans="2:36" x14ac:dyDescent="0.25">
      <c r="B2" s="2" t="s">
        <v>1</v>
      </c>
      <c r="C2" s="3" t="s">
        <v>2</v>
      </c>
      <c r="D2" s="4" t="s">
        <v>3</v>
      </c>
      <c r="K2" s="5" t="s">
        <v>4</v>
      </c>
      <c r="L2" s="4" t="s">
        <v>5</v>
      </c>
      <c r="S2" s="5" t="s">
        <v>6</v>
      </c>
      <c r="T2" s="4" t="s">
        <v>7</v>
      </c>
      <c r="AA2" s="6"/>
      <c r="AB2" s="4" t="s">
        <v>8</v>
      </c>
    </row>
    <row r="3" spans="2:36" x14ac:dyDescent="0.25">
      <c r="C3" s="7"/>
      <c r="D3" s="4" t="s">
        <v>10</v>
      </c>
      <c r="K3" s="8"/>
      <c r="L3" s="4" t="s">
        <v>11</v>
      </c>
      <c r="S3" s="9"/>
      <c r="T3" s="4" t="s">
        <v>12</v>
      </c>
      <c r="AA3" s="10"/>
      <c r="AB3" s="4" t="s">
        <v>13</v>
      </c>
    </row>
    <row r="5" spans="2:36" ht="21" customHeight="1" x14ac:dyDescent="0.25">
      <c r="B5" s="11"/>
      <c r="C5" s="138" t="s">
        <v>45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I5" s="2" t="s">
        <v>15</v>
      </c>
    </row>
    <row r="6" spans="2:36" x14ac:dyDescent="0.25">
      <c r="B6" s="137" t="s">
        <v>16</v>
      </c>
      <c r="C6" s="37" t="s">
        <v>6</v>
      </c>
      <c r="D6" s="13" t="s">
        <v>18</v>
      </c>
      <c r="E6" s="13" t="s">
        <v>19</v>
      </c>
      <c r="F6" s="12" t="s">
        <v>20</v>
      </c>
      <c r="G6" s="12" t="s">
        <v>21</v>
      </c>
      <c r="H6" s="37" t="s">
        <v>22</v>
      </c>
      <c r="I6" s="12" t="s">
        <v>17</v>
      </c>
      <c r="J6" s="12" t="s">
        <v>6</v>
      </c>
      <c r="K6" s="13" t="s">
        <v>18</v>
      </c>
      <c r="L6" s="13" t="s">
        <v>19</v>
      </c>
      <c r="M6" s="12" t="s">
        <v>20</v>
      </c>
      <c r="N6" s="12" t="s">
        <v>21</v>
      </c>
      <c r="O6" s="12" t="s">
        <v>22</v>
      </c>
      <c r="P6" s="12" t="s">
        <v>17</v>
      </c>
      <c r="Q6" s="12" t="s">
        <v>6</v>
      </c>
      <c r="R6" s="13" t="s">
        <v>18</v>
      </c>
      <c r="S6" s="13" t="s">
        <v>19</v>
      </c>
      <c r="T6" s="12" t="s">
        <v>20</v>
      </c>
      <c r="U6" s="12" t="s">
        <v>21</v>
      </c>
      <c r="V6" s="12" t="s">
        <v>22</v>
      </c>
      <c r="W6" s="12" t="s">
        <v>17</v>
      </c>
      <c r="X6" s="12" t="s">
        <v>6</v>
      </c>
      <c r="Y6" s="13" t="s">
        <v>18</v>
      </c>
      <c r="Z6" s="13" t="s">
        <v>19</v>
      </c>
      <c r="AA6" s="12" t="s">
        <v>20</v>
      </c>
      <c r="AB6" s="12" t="s">
        <v>21</v>
      </c>
      <c r="AC6" s="12" t="s">
        <v>22</v>
      </c>
      <c r="AD6" s="12" t="s">
        <v>17</v>
      </c>
      <c r="AE6" s="12" t="s">
        <v>6</v>
      </c>
      <c r="AF6" s="13" t="s">
        <v>18</v>
      </c>
      <c r="AG6" s="38" t="s">
        <v>19</v>
      </c>
      <c r="AI6" s="39" t="s">
        <v>46</v>
      </c>
      <c r="AJ6" s="40" t="s">
        <v>47</v>
      </c>
    </row>
    <row r="7" spans="2:36" x14ac:dyDescent="0.25">
      <c r="B7" s="137"/>
      <c r="C7" s="41">
        <v>1</v>
      </c>
      <c r="D7" s="16">
        <v>2</v>
      </c>
      <c r="E7" s="16">
        <v>3</v>
      </c>
      <c r="F7" s="15">
        <v>4</v>
      </c>
      <c r="G7" s="15">
        <v>5</v>
      </c>
      <c r="H7" s="41">
        <v>6</v>
      </c>
      <c r="I7" s="15">
        <v>7</v>
      </c>
      <c r="J7" s="15">
        <v>8</v>
      </c>
      <c r="K7" s="16">
        <v>9</v>
      </c>
      <c r="L7" s="16">
        <v>10</v>
      </c>
      <c r="M7" s="15">
        <v>11</v>
      </c>
      <c r="N7" s="15">
        <v>12</v>
      </c>
      <c r="O7" s="15">
        <v>13</v>
      </c>
      <c r="P7" s="15">
        <v>14</v>
      </c>
      <c r="Q7" s="15">
        <v>15</v>
      </c>
      <c r="R7" s="16">
        <v>16</v>
      </c>
      <c r="S7" s="16">
        <v>17</v>
      </c>
      <c r="T7" s="15">
        <v>18</v>
      </c>
      <c r="U7" s="15">
        <v>19</v>
      </c>
      <c r="V7" s="15">
        <v>20</v>
      </c>
      <c r="W7" s="15">
        <v>21</v>
      </c>
      <c r="X7" s="15">
        <v>22</v>
      </c>
      <c r="Y7" s="16">
        <v>23</v>
      </c>
      <c r="Z7" s="16">
        <v>24</v>
      </c>
      <c r="AA7" s="15">
        <v>25</v>
      </c>
      <c r="AB7" s="15">
        <v>26</v>
      </c>
      <c r="AC7" s="15">
        <v>27</v>
      </c>
      <c r="AD7" s="15">
        <v>28</v>
      </c>
      <c r="AE7" s="15">
        <v>29</v>
      </c>
      <c r="AF7" s="16">
        <v>30</v>
      </c>
      <c r="AG7" s="42">
        <v>31</v>
      </c>
      <c r="AI7" s="39" t="s">
        <v>48</v>
      </c>
      <c r="AJ7" s="40" t="s">
        <v>49</v>
      </c>
    </row>
    <row r="8" spans="2:36" x14ac:dyDescent="0.25">
      <c r="B8" s="18" t="s">
        <v>25</v>
      </c>
      <c r="C8" s="44" t="s">
        <v>2</v>
      </c>
      <c r="D8" s="20" t="s">
        <v>2</v>
      </c>
      <c r="E8" s="20" t="s">
        <v>2</v>
      </c>
      <c r="F8" s="21"/>
      <c r="G8" s="21"/>
      <c r="H8" s="62" t="s">
        <v>4</v>
      </c>
      <c r="I8" s="21"/>
      <c r="J8" s="21"/>
      <c r="K8" s="43"/>
      <c r="L8" s="43"/>
      <c r="M8" s="19" t="s">
        <v>2</v>
      </c>
      <c r="N8" s="19" t="s">
        <v>2</v>
      </c>
      <c r="O8" s="19" t="s">
        <v>2</v>
      </c>
      <c r="P8" s="19" t="s">
        <v>2</v>
      </c>
      <c r="Q8" s="19" t="s">
        <v>2</v>
      </c>
      <c r="R8" s="20" t="s">
        <v>2</v>
      </c>
      <c r="S8" s="20" t="s">
        <v>2</v>
      </c>
      <c r="T8" s="21"/>
      <c r="U8" s="21"/>
      <c r="V8" s="21"/>
      <c r="W8" s="21"/>
      <c r="X8" s="21"/>
      <c r="Y8" s="43"/>
      <c r="Z8" s="43"/>
      <c r="AA8" s="21"/>
      <c r="AB8" s="21"/>
      <c r="AC8" s="21"/>
      <c r="AD8" s="21"/>
      <c r="AE8" s="21"/>
      <c r="AF8" s="43"/>
      <c r="AG8" s="74"/>
    </row>
    <row r="9" spans="2:36" x14ac:dyDescent="0.25">
      <c r="B9" s="23" t="s">
        <v>26</v>
      </c>
      <c r="C9" s="46" t="s">
        <v>4</v>
      </c>
      <c r="D9" s="25"/>
      <c r="E9" s="25"/>
      <c r="F9" s="26" t="s">
        <v>2</v>
      </c>
      <c r="G9" s="26" t="s">
        <v>2</v>
      </c>
      <c r="H9" s="67" t="s">
        <v>2</v>
      </c>
      <c r="I9" s="26" t="s">
        <v>2</v>
      </c>
      <c r="J9" s="26" t="s">
        <v>2</v>
      </c>
      <c r="K9" s="27" t="s">
        <v>2</v>
      </c>
      <c r="L9" s="27" t="s">
        <v>2</v>
      </c>
      <c r="M9" s="24"/>
      <c r="N9" s="24"/>
      <c r="O9" s="24"/>
      <c r="P9" s="24"/>
      <c r="Q9" s="24"/>
      <c r="R9" s="25"/>
      <c r="S9" s="25"/>
      <c r="T9" s="24"/>
      <c r="U9" s="24"/>
      <c r="V9" s="24"/>
      <c r="W9" s="24"/>
      <c r="X9" s="24"/>
      <c r="Y9" s="25"/>
      <c r="Z9" s="25"/>
      <c r="AA9" s="26" t="s">
        <v>2</v>
      </c>
      <c r="AB9" s="26" t="s">
        <v>2</v>
      </c>
      <c r="AC9" s="26" t="s">
        <v>2</v>
      </c>
      <c r="AD9" s="26" t="s">
        <v>2</v>
      </c>
      <c r="AE9" s="26" t="s">
        <v>2</v>
      </c>
      <c r="AF9" s="27" t="s">
        <v>2</v>
      </c>
      <c r="AG9" s="47" t="s">
        <v>2</v>
      </c>
    </row>
    <row r="10" spans="2:36" x14ac:dyDescent="0.25">
      <c r="B10" s="23" t="s">
        <v>27</v>
      </c>
      <c r="C10" s="67" t="s">
        <v>2</v>
      </c>
      <c r="D10" s="27" t="s">
        <v>2</v>
      </c>
      <c r="E10" s="27" t="s">
        <v>2</v>
      </c>
      <c r="F10" s="24"/>
      <c r="G10" s="24"/>
      <c r="H10" s="46" t="s">
        <v>4</v>
      </c>
      <c r="I10" s="24"/>
      <c r="J10" s="24"/>
      <c r="K10" s="25"/>
      <c r="L10" s="25"/>
      <c r="M10" s="24"/>
      <c r="N10" s="24"/>
      <c r="O10" s="24"/>
      <c r="P10" s="24"/>
      <c r="Q10" s="24"/>
      <c r="R10" s="25"/>
      <c r="S10" s="25"/>
      <c r="T10" s="26" t="s">
        <v>2</v>
      </c>
      <c r="U10" s="26" t="s">
        <v>2</v>
      </c>
      <c r="V10" s="26" t="s">
        <v>2</v>
      </c>
      <c r="W10" s="26" t="s">
        <v>2</v>
      </c>
      <c r="X10" s="26" t="s">
        <v>2</v>
      </c>
      <c r="Y10" s="27" t="s">
        <v>2</v>
      </c>
      <c r="Z10" s="27" t="s">
        <v>2</v>
      </c>
      <c r="AA10" s="24"/>
      <c r="AB10" s="24"/>
      <c r="AC10" s="24"/>
      <c r="AD10" s="24"/>
      <c r="AE10" s="24"/>
      <c r="AF10" s="25"/>
      <c r="AG10" s="48"/>
    </row>
    <row r="11" spans="2:36" x14ac:dyDescent="0.25">
      <c r="B11" s="23" t="s">
        <v>28</v>
      </c>
      <c r="C11" s="46" t="s">
        <v>4</v>
      </c>
      <c r="D11" s="25"/>
      <c r="E11" s="25"/>
      <c r="F11" s="26" t="s">
        <v>2</v>
      </c>
      <c r="G11" s="26" t="s">
        <v>2</v>
      </c>
      <c r="H11" s="67" t="s">
        <v>2</v>
      </c>
      <c r="I11" s="26" t="s">
        <v>2</v>
      </c>
      <c r="J11" s="26" t="s">
        <v>2</v>
      </c>
      <c r="K11" s="27" t="s">
        <v>2</v>
      </c>
      <c r="L11" s="27" t="s">
        <v>2</v>
      </c>
      <c r="M11" s="24"/>
      <c r="N11" s="24"/>
      <c r="O11" s="24"/>
      <c r="P11" s="24"/>
      <c r="Q11" s="24"/>
      <c r="R11" s="25"/>
      <c r="S11" s="25"/>
      <c r="T11" s="26" t="s">
        <v>2</v>
      </c>
      <c r="U11" s="26" t="s">
        <v>2</v>
      </c>
      <c r="V11" s="26" t="s">
        <v>2</v>
      </c>
      <c r="W11" s="26" t="s">
        <v>2</v>
      </c>
      <c r="X11" s="26" t="s">
        <v>2</v>
      </c>
      <c r="Y11" s="27" t="s">
        <v>2</v>
      </c>
      <c r="Z11" s="27" t="s">
        <v>2</v>
      </c>
      <c r="AA11" s="24"/>
      <c r="AB11" s="24"/>
      <c r="AC11" s="24"/>
      <c r="AD11" s="24"/>
      <c r="AE11" s="24"/>
      <c r="AF11" s="25"/>
      <c r="AG11" s="48"/>
    </row>
    <row r="12" spans="2:36" x14ac:dyDescent="0.25">
      <c r="B12" s="31" t="s">
        <v>29</v>
      </c>
      <c r="C12" s="75" t="s">
        <v>4</v>
      </c>
      <c r="D12" s="33"/>
      <c r="E12" s="33"/>
      <c r="F12" s="32"/>
      <c r="G12" s="32"/>
      <c r="H12" s="75" t="s">
        <v>4</v>
      </c>
      <c r="I12" s="32"/>
      <c r="J12" s="32"/>
      <c r="K12" s="33"/>
      <c r="L12" s="33"/>
      <c r="M12" s="34" t="s">
        <v>2</v>
      </c>
      <c r="N12" s="34" t="s">
        <v>2</v>
      </c>
      <c r="O12" s="34" t="s">
        <v>2</v>
      </c>
      <c r="P12" s="34" t="s">
        <v>2</v>
      </c>
      <c r="Q12" s="34" t="s">
        <v>2</v>
      </c>
      <c r="R12" s="35" t="s">
        <v>2</v>
      </c>
      <c r="S12" s="35" t="s">
        <v>2</v>
      </c>
      <c r="T12" s="32"/>
      <c r="U12" s="32"/>
      <c r="V12" s="32"/>
      <c r="W12" s="32"/>
      <c r="X12" s="32"/>
      <c r="Y12" s="33"/>
      <c r="Z12" s="33"/>
      <c r="AA12" s="34" t="s">
        <v>2</v>
      </c>
      <c r="AB12" s="34" t="s">
        <v>2</v>
      </c>
      <c r="AC12" s="34" t="s">
        <v>2</v>
      </c>
      <c r="AD12" s="34" t="s">
        <v>2</v>
      </c>
      <c r="AE12" s="34" t="s">
        <v>2</v>
      </c>
      <c r="AF12" s="35" t="s">
        <v>2</v>
      </c>
      <c r="AG12" s="76" t="s">
        <v>2</v>
      </c>
    </row>
    <row r="14" spans="2:36" ht="21" customHeight="1" x14ac:dyDescent="0.25">
      <c r="B14" s="11"/>
      <c r="C14" s="138" t="s">
        <v>50</v>
      </c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</row>
    <row r="15" spans="2:36" x14ac:dyDescent="0.25">
      <c r="B15" s="137" t="s">
        <v>16</v>
      </c>
      <c r="C15" s="12" t="s">
        <v>20</v>
      </c>
      <c r="D15" s="12" t="s">
        <v>21</v>
      </c>
      <c r="E15" s="12" t="s">
        <v>22</v>
      </c>
      <c r="F15" s="12" t="s">
        <v>17</v>
      </c>
      <c r="G15" s="12" t="s">
        <v>6</v>
      </c>
      <c r="H15" s="13" t="s">
        <v>18</v>
      </c>
      <c r="I15" s="13" t="s">
        <v>19</v>
      </c>
      <c r="J15" s="12" t="s">
        <v>20</v>
      </c>
      <c r="K15" s="12" t="s">
        <v>21</v>
      </c>
      <c r="L15" s="12" t="s">
        <v>22</v>
      </c>
      <c r="M15" s="12" t="s">
        <v>17</v>
      </c>
      <c r="N15" s="12" t="s">
        <v>6</v>
      </c>
      <c r="O15" s="13" t="s">
        <v>18</v>
      </c>
      <c r="P15" s="13" t="s">
        <v>19</v>
      </c>
      <c r="Q15" s="12" t="s">
        <v>20</v>
      </c>
      <c r="R15" s="12" t="s">
        <v>21</v>
      </c>
      <c r="S15" s="12" t="s">
        <v>22</v>
      </c>
      <c r="T15" s="12" t="s">
        <v>17</v>
      </c>
      <c r="U15" s="12" t="s">
        <v>6</v>
      </c>
      <c r="V15" s="13" t="s">
        <v>18</v>
      </c>
      <c r="W15" s="13" t="s">
        <v>19</v>
      </c>
      <c r="X15" s="12" t="s">
        <v>20</v>
      </c>
      <c r="Y15" s="12" t="s">
        <v>21</v>
      </c>
      <c r="Z15" s="12" t="s">
        <v>22</v>
      </c>
      <c r="AA15" s="12" t="s">
        <v>17</v>
      </c>
      <c r="AB15" s="12" t="s">
        <v>6</v>
      </c>
      <c r="AC15" s="13" t="s">
        <v>18</v>
      </c>
      <c r="AD15" s="38" t="s">
        <v>19</v>
      </c>
    </row>
    <row r="16" spans="2:36" x14ac:dyDescent="0.25">
      <c r="B16" s="137"/>
      <c r="C16" s="15">
        <v>1</v>
      </c>
      <c r="D16" s="15">
        <v>2</v>
      </c>
      <c r="E16" s="15">
        <v>3</v>
      </c>
      <c r="F16" s="15">
        <v>4</v>
      </c>
      <c r="G16" s="15">
        <v>5</v>
      </c>
      <c r="H16" s="16">
        <v>6</v>
      </c>
      <c r="I16" s="16">
        <v>7</v>
      </c>
      <c r="J16" s="15">
        <v>8</v>
      </c>
      <c r="K16" s="15">
        <v>9</v>
      </c>
      <c r="L16" s="15">
        <v>10</v>
      </c>
      <c r="M16" s="15">
        <v>11</v>
      </c>
      <c r="N16" s="15">
        <v>12</v>
      </c>
      <c r="O16" s="16">
        <v>13</v>
      </c>
      <c r="P16" s="16">
        <v>14</v>
      </c>
      <c r="Q16" s="15">
        <v>15</v>
      </c>
      <c r="R16" s="15">
        <v>16</v>
      </c>
      <c r="S16" s="15">
        <v>17</v>
      </c>
      <c r="T16" s="15">
        <v>18</v>
      </c>
      <c r="U16" s="15">
        <v>19</v>
      </c>
      <c r="V16" s="16">
        <v>20</v>
      </c>
      <c r="W16" s="16">
        <v>21</v>
      </c>
      <c r="X16" s="15">
        <v>22</v>
      </c>
      <c r="Y16" s="15">
        <v>23</v>
      </c>
      <c r="Z16" s="15">
        <v>24</v>
      </c>
      <c r="AA16" s="15">
        <v>25</v>
      </c>
      <c r="AB16" s="15">
        <v>26</v>
      </c>
      <c r="AC16" s="16">
        <v>27</v>
      </c>
      <c r="AD16" s="42">
        <v>28</v>
      </c>
    </row>
    <row r="17" spans="2:36" x14ac:dyDescent="0.25">
      <c r="B17" s="18" t="s">
        <v>25</v>
      </c>
      <c r="C17" s="19" t="s">
        <v>2</v>
      </c>
      <c r="D17" s="19" t="s">
        <v>2</v>
      </c>
      <c r="E17" s="19" t="s">
        <v>2</v>
      </c>
      <c r="F17" s="19" t="s">
        <v>2</v>
      </c>
      <c r="G17" s="19" t="s">
        <v>2</v>
      </c>
      <c r="H17" s="20" t="s">
        <v>2</v>
      </c>
      <c r="I17" s="20" t="s">
        <v>2</v>
      </c>
      <c r="J17" s="21"/>
      <c r="K17" s="21"/>
      <c r="L17" s="21"/>
      <c r="M17" s="21"/>
      <c r="N17" s="21"/>
      <c r="O17" s="43"/>
      <c r="P17" s="43"/>
      <c r="Q17" s="19" t="s">
        <v>2</v>
      </c>
      <c r="R17" s="19" t="s">
        <v>2</v>
      </c>
      <c r="S17" s="19" t="s">
        <v>2</v>
      </c>
      <c r="T17" s="19" t="s">
        <v>2</v>
      </c>
      <c r="U17" s="19" t="s">
        <v>2</v>
      </c>
      <c r="V17" s="20" t="s">
        <v>2</v>
      </c>
      <c r="W17" s="20" t="s">
        <v>2</v>
      </c>
      <c r="X17" s="21"/>
      <c r="Y17" s="21"/>
      <c r="Z17" s="21"/>
      <c r="AA17" s="21"/>
      <c r="AB17" s="21"/>
      <c r="AC17" s="43"/>
      <c r="AD17" s="74"/>
    </row>
    <row r="18" spans="2:36" x14ac:dyDescent="0.25">
      <c r="B18" s="23" t="s">
        <v>26</v>
      </c>
      <c r="C18" s="24"/>
      <c r="D18" s="24"/>
      <c r="E18" s="24"/>
      <c r="F18" s="24"/>
      <c r="G18" s="24"/>
      <c r="H18" s="25"/>
      <c r="I18" s="25"/>
      <c r="J18" s="26" t="s">
        <v>2</v>
      </c>
      <c r="K18" s="26" t="s">
        <v>2</v>
      </c>
      <c r="L18" s="26" t="s">
        <v>2</v>
      </c>
      <c r="M18" s="26" t="s">
        <v>2</v>
      </c>
      <c r="N18" s="26" t="s">
        <v>2</v>
      </c>
      <c r="O18" s="27" t="s">
        <v>2</v>
      </c>
      <c r="P18" s="27" t="s">
        <v>2</v>
      </c>
      <c r="Q18" s="24"/>
      <c r="R18" s="24"/>
      <c r="S18" s="24"/>
      <c r="T18" s="24"/>
      <c r="U18" s="24"/>
      <c r="V18" s="25"/>
      <c r="W18" s="25"/>
      <c r="X18" s="24"/>
      <c r="Y18" s="24"/>
      <c r="Z18" s="24"/>
      <c r="AA18" s="24"/>
      <c r="AB18" s="24"/>
      <c r="AC18" s="25"/>
      <c r="AD18" s="48"/>
    </row>
    <row r="19" spans="2:36" x14ac:dyDescent="0.25">
      <c r="B19" s="23" t="s">
        <v>27</v>
      </c>
      <c r="C19" s="24"/>
      <c r="D19" s="24"/>
      <c r="E19" s="24"/>
      <c r="F19" s="24"/>
      <c r="G19" s="24"/>
      <c r="H19" s="25"/>
      <c r="I19" s="25"/>
      <c r="J19" s="26" t="s">
        <v>2</v>
      </c>
      <c r="K19" s="26" t="s">
        <v>2</v>
      </c>
      <c r="L19" s="26" t="s">
        <v>2</v>
      </c>
      <c r="M19" s="26" t="s">
        <v>2</v>
      </c>
      <c r="N19" s="26" t="s">
        <v>2</v>
      </c>
      <c r="O19" s="27" t="s">
        <v>2</v>
      </c>
      <c r="P19" s="27" t="s">
        <v>2</v>
      </c>
      <c r="Q19" s="24"/>
      <c r="R19" s="24"/>
      <c r="S19" s="24"/>
      <c r="T19" s="24"/>
      <c r="U19" s="24"/>
      <c r="V19" s="25"/>
      <c r="W19" s="25"/>
      <c r="X19" s="26" t="s">
        <v>2</v>
      </c>
      <c r="Y19" s="26" t="s">
        <v>2</v>
      </c>
      <c r="Z19" s="26" t="s">
        <v>2</v>
      </c>
      <c r="AA19" s="26" t="s">
        <v>2</v>
      </c>
      <c r="AB19" s="26" t="s">
        <v>2</v>
      </c>
      <c r="AC19" s="27" t="s">
        <v>2</v>
      </c>
      <c r="AD19" s="47" t="s">
        <v>2</v>
      </c>
    </row>
    <row r="20" spans="2:36" x14ac:dyDescent="0.25">
      <c r="B20" s="23" t="s">
        <v>28</v>
      </c>
      <c r="C20" s="26" t="s">
        <v>2</v>
      </c>
      <c r="D20" s="26" t="s">
        <v>2</v>
      </c>
      <c r="E20" s="26" t="s">
        <v>2</v>
      </c>
      <c r="F20" s="26" t="s">
        <v>2</v>
      </c>
      <c r="G20" s="26" t="s">
        <v>2</v>
      </c>
      <c r="H20" s="27" t="s">
        <v>2</v>
      </c>
      <c r="I20" s="27" t="s">
        <v>2</v>
      </c>
      <c r="J20" s="24"/>
      <c r="K20" s="24"/>
      <c r="L20" s="24"/>
      <c r="M20" s="24"/>
      <c r="N20" s="24"/>
      <c r="O20" s="25"/>
      <c r="P20" s="25"/>
      <c r="Q20" s="24"/>
      <c r="R20" s="24"/>
      <c r="S20" s="24"/>
      <c r="T20" s="24"/>
      <c r="U20" s="24"/>
      <c r="V20" s="25"/>
      <c r="W20" s="25"/>
      <c r="X20" s="26" t="s">
        <v>2</v>
      </c>
      <c r="Y20" s="26" t="s">
        <v>2</v>
      </c>
      <c r="Z20" s="26" t="s">
        <v>2</v>
      </c>
      <c r="AA20" s="26" t="s">
        <v>2</v>
      </c>
      <c r="AB20" s="26" t="s">
        <v>2</v>
      </c>
      <c r="AC20" s="27" t="s">
        <v>2</v>
      </c>
      <c r="AD20" s="47" t="s">
        <v>2</v>
      </c>
    </row>
    <row r="21" spans="2:36" x14ac:dyDescent="0.25">
      <c r="B21" s="31" t="s">
        <v>29</v>
      </c>
      <c r="C21" s="32"/>
      <c r="D21" s="32"/>
      <c r="E21" s="32"/>
      <c r="F21" s="32"/>
      <c r="G21" s="32"/>
      <c r="H21" s="33"/>
      <c r="I21" s="33"/>
      <c r="J21" s="32"/>
      <c r="K21" s="32"/>
      <c r="L21" s="32"/>
      <c r="M21" s="32"/>
      <c r="N21" s="32"/>
      <c r="O21" s="33"/>
      <c r="P21" s="33"/>
      <c r="Q21" s="34" t="s">
        <v>2</v>
      </c>
      <c r="R21" s="34" t="s">
        <v>2</v>
      </c>
      <c r="S21" s="34" t="s">
        <v>2</v>
      </c>
      <c r="T21" s="34" t="s">
        <v>2</v>
      </c>
      <c r="U21" s="34" t="s">
        <v>2</v>
      </c>
      <c r="V21" s="35" t="s">
        <v>2</v>
      </c>
      <c r="W21" s="35" t="s">
        <v>2</v>
      </c>
      <c r="X21" s="32"/>
      <c r="Y21" s="32"/>
      <c r="Z21" s="32"/>
      <c r="AA21" s="32"/>
      <c r="AB21" s="32"/>
      <c r="AC21" s="33"/>
      <c r="AD21" s="50"/>
    </row>
    <row r="23" spans="2:36" ht="21" customHeight="1" x14ac:dyDescent="0.25">
      <c r="B23" s="11"/>
      <c r="C23" s="138" t="s">
        <v>51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I23" s="2" t="s">
        <v>15</v>
      </c>
    </row>
    <row r="24" spans="2:36" x14ac:dyDescent="0.25">
      <c r="B24" s="137" t="s">
        <v>16</v>
      </c>
      <c r="C24" s="51" t="s">
        <v>20</v>
      </c>
      <c r="D24" s="12" t="s">
        <v>21</v>
      </c>
      <c r="E24" s="12" t="s">
        <v>22</v>
      </c>
      <c r="F24" s="12" t="s">
        <v>17</v>
      </c>
      <c r="G24" s="12" t="s">
        <v>6</v>
      </c>
      <c r="H24" s="13" t="s">
        <v>18</v>
      </c>
      <c r="I24" s="13" t="s">
        <v>19</v>
      </c>
      <c r="J24" s="12" t="s">
        <v>20</v>
      </c>
      <c r="K24" s="12" t="s">
        <v>21</v>
      </c>
      <c r="L24" s="12" t="s">
        <v>22</v>
      </c>
      <c r="M24" s="12" t="s">
        <v>17</v>
      </c>
      <c r="N24" s="12" t="s">
        <v>6</v>
      </c>
      <c r="O24" s="13" t="s">
        <v>18</v>
      </c>
      <c r="P24" s="13" t="s">
        <v>19</v>
      </c>
      <c r="Q24" s="12" t="s">
        <v>20</v>
      </c>
      <c r="R24" s="12" t="s">
        <v>21</v>
      </c>
      <c r="S24" s="12" t="s">
        <v>22</v>
      </c>
      <c r="T24" s="12" t="s">
        <v>17</v>
      </c>
      <c r="U24" s="12" t="s">
        <v>6</v>
      </c>
      <c r="V24" s="13" t="s">
        <v>18</v>
      </c>
      <c r="W24" s="13" t="s">
        <v>19</v>
      </c>
      <c r="X24" s="12" t="s">
        <v>20</v>
      </c>
      <c r="Y24" s="12" t="s">
        <v>21</v>
      </c>
      <c r="Z24" s="12" t="s">
        <v>22</v>
      </c>
      <c r="AA24" s="51" t="s">
        <v>17</v>
      </c>
      <c r="AB24" s="37" t="s">
        <v>6</v>
      </c>
      <c r="AC24" s="13" t="s">
        <v>18</v>
      </c>
      <c r="AD24" s="13" t="s">
        <v>19</v>
      </c>
      <c r="AE24" s="12" t="s">
        <v>20</v>
      </c>
      <c r="AF24" s="12" t="s">
        <v>21</v>
      </c>
      <c r="AG24" s="14" t="s">
        <v>22</v>
      </c>
      <c r="AI24" s="52" t="s">
        <v>52</v>
      </c>
      <c r="AJ24" s="40" t="s">
        <v>53</v>
      </c>
    </row>
    <row r="25" spans="2:36" x14ac:dyDescent="0.25">
      <c r="B25" s="137"/>
      <c r="C25" s="53">
        <v>1</v>
      </c>
      <c r="D25" s="15">
        <v>2</v>
      </c>
      <c r="E25" s="15">
        <v>3</v>
      </c>
      <c r="F25" s="15">
        <v>4</v>
      </c>
      <c r="G25" s="15">
        <v>5</v>
      </c>
      <c r="H25" s="16">
        <v>6</v>
      </c>
      <c r="I25" s="16">
        <v>7</v>
      </c>
      <c r="J25" s="15">
        <v>8</v>
      </c>
      <c r="K25" s="15">
        <v>9</v>
      </c>
      <c r="L25" s="15">
        <v>10</v>
      </c>
      <c r="M25" s="15">
        <v>11</v>
      </c>
      <c r="N25" s="15">
        <v>12</v>
      </c>
      <c r="O25" s="16">
        <v>13</v>
      </c>
      <c r="P25" s="16">
        <v>14</v>
      </c>
      <c r="Q25" s="15">
        <v>15</v>
      </c>
      <c r="R25" s="15">
        <v>16</v>
      </c>
      <c r="S25" s="15">
        <v>17</v>
      </c>
      <c r="T25" s="15">
        <v>18</v>
      </c>
      <c r="U25" s="15">
        <v>19</v>
      </c>
      <c r="V25" s="16">
        <v>20</v>
      </c>
      <c r="W25" s="16">
        <v>21</v>
      </c>
      <c r="X25" s="15">
        <v>22</v>
      </c>
      <c r="Y25" s="15">
        <v>23</v>
      </c>
      <c r="Z25" s="15">
        <v>24</v>
      </c>
      <c r="AA25" s="53">
        <v>25</v>
      </c>
      <c r="AB25" s="41">
        <v>26</v>
      </c>
      <c r="AC25" s="16">
        <v>27</v>
      </c>
      <c r="AD25" s="16">
        <v>28</v>
      </c>
      <c r="AE25" s="15">
        <v>29</v>
      </c>
      <c r="AF25" s="15">
        <v>30</v>
      </c>
      <c r="AG25" s="17">
        <v>31</v>
      </c>
      <c r="AI25" s="52" t="s">
        <v>54</v>
      </c>
      <c r="AJ25" s="40" t="s">
        <v>55</v>
      </c>
    </row>
    <row r="26" spans="2:36" x14ac:dyDescent="0.25">
      <c r="B26" s="18" t="s">
        <v>25</v>
      </c>
      <c r="C26" s="77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20" t="s">
        <v>2</v>
      </c>
      <c r="I26" s="20" t="s">
        <v>2</v>
      </c>
      <c r="J26" s="21"/>
      <c r="K26" s="21"/>
      <c r="L26" s="21"/>
      <c r="M26" s="21"/>
      <c r="N26" s="21"/>
      <c r="O26" s="43"/>
      <c r="P26" s="43"/>
      <c r="Q26" s="21"/>
      <c r="R26" s="21"/>
      <c r="S26" s="21"/>
      <c r="T26" s="21"/>
      <c r="U26" s="21"/>
      <c r="V26" s="43"/>
      <c r="W26" s="43"/>
      <c r="X26" s="19" t="s">
        <v>2</v>
      </c>
      <c r="Y26" s="19" t="s">
        <v>2</v>
      </c>
      <c r="Z26" s="19" t="s">
        <v>2</v>
      </c>
      <c r="AA26" s="77" t="s">
        <v>2</v>
      </c>
      <c r="AB26" s="44" t="s">
        <v>2</v>
      </c>
      <c r="AC26" s="20" t="s">
        <v>2</v>
      </c>
      <c r="AD26" s="20" t="s">
        <v>2</v>
      </c>
      <c r="AE26" s="21"/>
      <c r="AF26" s="21"/>
      <c r="AG26" s="22"/>
      <c r="AI26" s="39" t="s">
        <v>56</v>
      </c>
      <c r="AJ26" s="40" t="s">
        <v>57</v>
      </c>
    </row>
    <row r="27" spans="2:36" x14ac:dyDescent="0.25">
      <c r="B27" s="23" t="s">
        <v>26</v>
      </c>
      <c r="C27" s="56" t="s">
        <v>2</v>
      </c>
      <c r="D27" s="26" t="s">
        <v>2</v>
      </c>
      <c r="E27" s="26" t="s">
        <v>2</v>
      </c>
      <c r="F27" s="26" t="s">
        <v>2</v>
      </c>
      <c r="G27" s="26" t="s">
        <v>2</v>
      </c>
      <c r="H27" s="27" t="s">
        <v>2</v>
      </c>
      <c r="I27" s="27" t="s">
        <v>2</v>
      </c>
      <c r="J27" s="24"/>
      <c r="K27" s="24"/>
      <c r="L27" s="24"/>
      <c r="M27" s="24"/>
      <c r="N27" s="24"/>
      <c r="O27" s="25"/>
      <c r="P27" s="25"/>
      <c r="Q27" s="26" t="s">
        <v>2</v>
      </c>
      <c r="R27" s="26" t="s">
        <v>2</v>
      </c>
      <c r="S27" s="26" t="s">
        <v>2</v>
      </c>
      <c r="T27" s="26" t="s">
        <v>2</v>
      </c>
      <c r="U27" s="26" t="s">
        <v>2</v>
      </c>
      <c r="V27" s="27" t="s">
        <v>2</v>
      </c>
      <c r="W27" s="27" t="s">
        <v>2</v>
      </c>
      <c r="X27" s="24"/>
      <c r="Y27" s="24"/>
      <c r="Z27" s="24"/>
      <c r="AA27" s="55" t="s">
        <v>4</v>
      </c>
      <c r="AB27" s="46" t="s">
        <v>4</v>
      </c>
      <c r="AC27" s="25"/>
      <c r="AD27" s="25"/>
      <c r="AE27" s="26" t="s">
        <v>2</v>
      </c>
      <c r="AF27" s="26" t="s">
        <v>2</v>
      </c>
      <c r="AG27" s="28" t="s">
        <v>2</v>
      </c>
    </row>
    <row r="28" spans="2:36" x14ac:dyDescent="0.25">
      <c r="B28" s="23" t="s">
        <v>27</v>
      </c>
      <c r="C28" s="55" t="s">
        <v>4</v>
      </c>
      <c r="D28" s="24"/>
      <c r="E28" s="24"/>
      <c r="F28" s="24"/>
      <c r="G28" s="24"/>
      <c r="H28" s="25"/>
      <c r="I28" s="25"/>
      <c r="J28" s="26" t="s">
        <v>2</v>
      </c>
      <c r="K28" s="26" t="s">
        <v>2</v>
      </c>
      <c r="L28" s="26" t="s">
        <v>2</v>
      </c>
      <c r="M28" s="26" t="s">
        <v>2</v>
      </c>
      <c r="N28" s="26" t="s">
        <v>2</v>
      </c>
      <c r="O28" s="27" t="s">
        <v>2</v>
      </c>
      <c r="P28" s="27" t="s">
        <v>2</v>
      </c>
      <c r="Q28" s="24"/>
      <c r="R28" s="24"/>
      <c r="S28" s="24"/>
      <c r="T28" s="24"/>
      <c r="U28" s="24"/>
      <c r="V28" s="25"/>
      <c r="W28" s="25"/>
      <c r="X28" s="24"/>
      <c r="Y28" s="24"/>
      <c r="Z28" s="24"/>
      <c r="AA28" s="55" t="s">
        <v>4</v>
      </c>
      <c r="AB28" s="46" t="s">
        <v>4</v>
      </c>
      <c r="AC28" s="25"/>
      <c r="AD28" s="25"/>
      <c r="AE28" s="26" t="s">
        <v>2</v>
      </c>
      <c r="AF28" s="26" t="s">
        <v>2</v>
      </c>
      <c r="AG28" s="28" t="s">
        <v>2</v>
      </c>
    </row>
    <row r="29" spans="2:36" x14ac:dyDescent="0.25">
      <c r="B29" s="23" t="s">
        <v>28</v>
      </c>
      <c r="C29" s="55" t="s">
        <v>4</v>
      </c>
      <c r="D29" s="24"/>
      <c r="E29" s="24"/>
      <c r="F29" s="24"/>
      <c r="G29" s="24"/>
      <c r="H29" s="25"/>
      <c r="I29" s="25"/>
      <c r="J29" s="24"/>
      <c r="K29" s="24"/>
      <c r="L29" s="24"/>
      <c r="M29" s="24"/>
      <c r="N29" s="24"/>
      <c r="O29" s="25"/>
      <c r="P29" s="25"/>
      <c r="Q29" s="26" t="s">
        <v>2</v>
      </c>
      <c r="R29" s="26" t="s">
        <v>2</v>
      </c>
      <c r="S29" s="26" t="s">
        <v>2</v>
      </c>
      <c r="T29" s="26" t="s">
        <v>2</v>
      </c>
      <c r="U29" s="26" t="s">
        <v>2</v>
      </c>
      <c r="V29" s="27" t="s">
        <v>2</v>
      </c>
      <c r="W29" s="27" t="s">
        <v>2</v>
      </c>
      <c r="X29" s="24"/>
      <c r="Y29" s="24"/>
      <c r="Z29" s="24"/>
      <c r="AA29" s="55" t="s">
        <v>4</v>
      </c>
      <c r="AB29" s="46" t="s">
        <v>4</v>
      </c>
      <c r="AC29" s="25"/>
      <c r="AD29" s="25"/>
      <c r="AE29" s="24"/>
      <c r="AF29" s="24"/>
      <c r="AG29" s="30"/>
    </row>
    <row r="30" spans="2:36" x14ac:dyDescent="0.25">
      <c r="B30" s="31" t="s">
        <v>29</v>
      </c>
      <c r="C30" s="78" t="s">
        <v>4</v>
      </c>
      <c r="D30" s="32"/>
      <c r="E30" s="32"/>
      <c r="F30" s="32"/>
      <c r="G30" s="32"/>
      <c r="H30" s="33"/>
      <c r="I30" s="33"/>
      <c r="J30" s="34" t="s">
        <v>2</v>
      </c>
      <c r="K30" s="34" t="s">
        <v>2</v>
      </c>
      <c r="L30" s="34" t="s">
        <v>2</v>
      </c>
      <c r="M30" s="34" t="s">
        <v>2</v>
      </c>
      <c r="N30" s="34" t="s">
        <v>2</v>
      </c>
      <c r="O30" s="35" t="s">
        <v>2</v>
      </c>
      <c r="P30" s="35" t="s">
        <v>2</v>
      </c>
      <c r="Q30" s="32"/>
      <c r="R30" s="32"/>
      <c r="S30" s="32"/>
      <c r="T30" s="32"/>
      <c r="U30" s="32"/>
      <c r="V30" s="33"/>
      <c r="W30" s="33"/>
      <c r="X30" s="34" t="s">
        <v>2</v>
      </c>
      <c r="Y30" s="34" t="s">
        <v>2</v>
      </c>
      <c r="Z30" s="34" t="s">
        <v>2</v>
      </c>
      <c r="AA30" s="57" t="s">
        <v>2</v>
      </c>
      <c r="AB30" s="49" t="s">
        <v>2</v>
      </c>
      <c r="AC30" s="35" t="s">
        <v>2</v>
      </c>
      <c r="AD30" s="35" t="s">
        <v>2</v>
      </c>
      <c r="AE30" s="32"/>
      <c r="AF30" s="32"/>
      <c r="AG30" s="36"/>
    </row>
    <row r="32" spans="2:36" ht="21" customHeight="1" x14ac:dyDescent="0.25">
      <c r="B32" s="11"/>
      <c r="C32" s="138" t="s">
        <v>58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I32" s="2" t="s">
        <v>15</v>
      </c>
    </row>
    <row r="33" spans="2:36" x14ac:dyDescent="0.25">
      <c r="B33" s="137" t="s">
        <v>16</v>
      </c>
      <c r="C33" s="12" t="s">
        <v>17</v>
      </c>
      <c r="D33" s="12" t="s">
        <v>6</v>
      </c>
      <c r="E33" s="13" t="s">
        <v>18</v>
      </c>
      <c r="F33" s="13" t="s">
        <v>19</v>
      </c>
      <c r="G33" s="12" t="s">
        <v>20</v>
      </c>
      <c r="H33" s="12" t="s">
        <v>21</v>
      </c>
      <c r="I33" s="12" t="s">
        <v>22</v>
      </c>
      <c r="J33" s="12" t="s">
        <v>17</v>
      </c>
      <c r="K33" s="12" t="s">
        <v>6</v>
      </c>
      <c r="L33" s="13" t="s">
        <v>18</v>
      </c>
      <c r="M33" s="13" t="s">
        <v>19</v>
      </c>
      <c r="N33" s="12" t="s">
        <v>20</v>
      </c>
      <c r="O33" s="12" t="s">
        <v>21</v>
      </c>
      <c r="P33" s="79" t="s">
        <v>22</v>
      </c>
      <c r="Q33" s="12" t="s">
        <v>17</v>
      </c>
      <c r="R33" s="12" t="s">
        <v>6</v>
      </c>
      <c r="S33" s="13" t="s">
        <v>18</v>
      </c>
      <c r="T33" s="13" t="s">
        <v>19</v>
      </c>
      <c r="U33" s="12" t="s">
        <v>20</v>
      </c>
      <c r="V33" s="12" t="s">
        <v>21</v>
      </c>
      <c r="W33" s="12" t="s">
        <v>22</v>
      </c>
      <c r="X33" s="12" t="s">
        <v>17</v>
      </c>
      <c r="Y33" s="12" t="s">
        <v>6</v>
      </c>
      <c r="Z33" s="13" t="s">
        <v>18</v>
      </c>
      <c r="AA33" s="13" t="s">
        <v>19</v>
      </c>
      <c r="AB33" s="12" t="s">
        <v>20</v>
      </c>
      <c r="AC33" s="12" t="s">
        <v>21</v>
      </c>
      <c r="AD33" s="12" t="s">
        <v>22</v>
      </c>
      <c r="AE33" s="12" t="s">
        <v>17</v>
      </c>
      <c r="AF33" s="14" t="s">
        <v>6</v>
      </c>
      <c r="AI33" s="80" t="s">
        <v>59</v>
      </c>
      <c r="AJ33" s="40" t="s">
        <v>60</v>
      </c>
    </row>
    <row r="34" spans="2:36" x14ac:dyDescent="0.25">
      <c r="B34" s="137"/>
      <c r="C34" s="15">
        <v>1</v>
      </c>
      <c r="D34" s="15">
        <v>2</v>
      </c>
      <c r="E34" s="16">
        <v>3</v>
      </c>
      <c r="F34" s="16">
        <v>4</v>
      </c>
      <c r="G34" s="15">
        <v>5</v>
      </c>
      <c r="H34" s="15">
        <v>6</v>
      </c>
      <c r="I34" s="15">
        <v>7</v>
      </c>
      <c r="J34" s="15">
        <v>8</v>
      </c>
      <c r="K34" s="15">
        <v>9</v>
      </c>
      <c r="L34" s="16">
        <v>10</v>
      </c>
      <c r="M34" s="16">
        <v>11</v>
      </c>
      <c r="N34" s="15">
        <v>12</v>
      </c>
      <c r="O34" s="15">
        <v>13</v>
      </c>
      <c r="P34" s="81">
        <v>14</v>
      </c>
      <c r="Q34" s="15">
        <v>15</v>
      </c>
      <c r="R34" s="15">
        <v>16</v>
      </c>
      <c r="S34" s="16">
        <v>17</v>
      </c>
      <c r="T34" s="16">
        <v>18</v>
      </c>
      <c r="U34" s="15">
        <v>19</v>
      </c>
      <c r="V34" s="15">
        <v>20</v>
      </c>
      <c r="W34" s="15">
        <v>21</v>
      </c>
      <c r="X34" s="15">
        <v>22</v>
      </c>
      <c r="Y34" s="15">
        <v>23</v>
      </c>
      <c r="Z34" s="16">
        <v>24</v>
      </c>
      <c r="AA34" s="16">
        <v>25</v>
      </c>
      <c r="AB34" s="15">
        <v>26</v>
      </c>
      <c r="AC34" s="15">
        <v>27</v>
      </c>
      <c r="AD34" s="15">
        <v>28</v>
      </c>
      <c r="AE34" s="15">
        <v>29</v>
      </c>
      <c r="AF34" s="17">
        <v>30</v>
      </c>
    </row>
    <row r="35" spans="2:36" x14ac:dyDescent="0.25">
      <c r="B35" s="18" t="s">
        <v>25</v>
      </c>
      <c r="C35" s="21"/>
      <c r="D35" s="21"/>
      <c r="E35" s="43"/>
      <c r="F35" s="43"/>
      <c r="G35" s="21"/>
      <c r="H35" s="21"/>
      <c r="I35" s="21"/>
      <c r="J35" s="21"/>
      <c r="K35" s="21"/>
      <c r="L35" s="43"/>
      <c r="M35" s="43"/>
      <c r="N35" s="19" t="s">
        <v>2</v>
      </c>
      <c r="O35" s="19" t="s">
        <v>2</v>
      </c>
      <c r="P35" s="82" t="s">
        <v>2</v>
      </c>
      <c r="Q35" s="19" t="s">
        <v>2</v>
      </c>
      <c r="R35" s="19" t="s">
        <v>2</v>
      </c>
      <c r="S35" s="20" t="s">
        <v>2</v>
      </c>
      <c r="T35" s="20" t="s">
        <v>2</v>
      </c>
      <c r="U35" s="21"/>
      <c r="V35" s="21"/>
      <c r="W35" s="21"/>
      <c r="X35" s="21"/>
      <c r="Y35" s="21"/>
      <c r="Z35" s="43"/>
      <c r="AA35" s="43"/>
      <c r="AB35" s="21"/>
      <c r="AC35" s="21"/>
      <c r="AD35" s="21"/>
      <c r="AE35" s="21"/>
      <c r="AF35" s="22"/>
    </row>
    <row r="36" spans="2:36" x14ac:dyDescent="0.25">
      <c r="B36" s="23" t="s">
        <v>26</v>
      </c>
      <c r="C36" s="26" t="s">
        <v>2</v>
      </c>
      <c r="D36" s="26" t="s">
        <v>2</v>
      </c>
      <c r="E36" s="27" t="s">
        <v>2</v>
      </c>
      <c r="F36" s="27" t="s">
        <v>2</v>
      </c>
      <c r="G36" s="24"/>
      <c r="H36" s="24"/>
      <c r="I36" s="24"/>
      <c r="J36" s="24"/>
      <c r="K36" s="24"/>
      <c r="L36" s="25"/>
      <c r="M36" s="25"/>
      <c r="N36" s="24"/>
      <c r="O36" s="24"/>
      <c r="P36" s="83" t="s">
        <v>4</v>
      </c>
      <c r="Q36" s="24"/>
      <c r="R36" s="24"/>
      <c r="S36" s="25"/>
      <c r="T36" s="25"/>
      <c r="U36" s="26" t="s">
        <v>2</v>
      </c>
      <c r="V36" s="26" t="s">
        <v>2</v>
      </c>
      <c r="W36" s="26" t="s">
        <v>2</v>
      </c>
      <c r="X36" s="26" t="s">
        <v>2</v>
      </c>
      <c r="Y36" s="26" t="s">
        <v>2</v>
      </c>
      <c r="Z36" s="27" t="s">
        <v>2</v>
      </c>
      <c r="AA36" s="27" t="s">
        <v>2</v>
      </c>
      <c r="AB36" s="24"/>
      <c r="AC36" s="24"/>
      <c r="AD36" s="24"/>
      <c r="AE36" s="24"/>
      <c r="AF36" s="30"/>
    </row>
    <row r="37" spans="2:36" x14ac:dyDescent="0.25">
      <c r="B37" s="23" t="s">
        <v>27</v>
      </c>
      <c r="C37" s="26" t="s">
        <v>2</v>
      </c>
      <c r="D37" s="26" t="s">
        <v>2</v>
      </c>
      <c r="E37" s="27" t="s">
        <v>2</v>
      </c>
      <c r="F37" s="27" t="s">
        <v>2</v>
      </c>
      <c r="G37" s="24"/>
      <c r="H37" s="24"/>
      <c r="I37" s="24"/>
      <c r="J37" s="24"/>
      <c r="K37" s="24"/>
      <c r="L37" s="25"/>
      <c r="M37" s="25"/>
      <c r="N37" s="26" t="s">
        <v>2</v>
      </c>
      <c r="O37" s="26" t="s">
        <v>2</v>
      </c>
      <c r="P37" s="84" t="s">
        <v>2</v>
      </c>
      <c r="Q37" s="26" t="s">
        <v>2</v>
      </c>
      <c r="R37" s="26" t="s">
        <v>2</v>
      </c>
      <c r="S37" s="27" t="s">
        <v>2</v>
      </c>
      <c r="T37" s="27" t="s">
        <v>2</v>
      </c>
      <c r="U37" s="24"/>
      <c r="V37" s="24"/>
      <c r="W37" s="24"/>
      <c r="X37" s="24"/>
      <c r="Y37" s="24"/>
      <c r="Z37" s="25"/>
      <c r="AA37" s="25"/>
      <c r="AB37" s="26" t="s">
        <v>2</v>
      </c>
      <c r="AC37" s="26" t="s">
        <v>2</v>
      </c>
      <c r="AD37" s="26" t="s">
        <v>2</v>
      </c>
      <c r="AE37" s="26" t="s">
        <v>2</v>
      </c>
      <c r="AF37" s="28" t="s">
        <v>2</v>
      </c>
    </row>
    <row r="38" spans="2:36" x14ac:dyDescent="0.25">
      <c r="B38" s="23" t="s">
        <v>28</v>
      </c>
      <c r="C38" s="24"/>
      <c r="D38" s="24"/>
      <c r="E38" s="25"/>
      <c r="F38" s="25"/>
      <c r="G38" s="26" t="s">
        <v>2</v>
      </c>
      <c r="H38" s="26" t="s">
        <v>2</v>
      </c>
      <c r="I38" s="26" t="s">
        <v>2</v>
      </c>
      <c r="J38" s="26" t="s">
        <v>2</v>
      </c>
      <c r="K38" s="26" t="s">
        <v>2</v>
      </c>
      <c r="L38" s="27" t="s">
        <v>2</v>
      </c>
      <c r="M38" s="27" t="s">
        <v>2</v>
      </c>
      <c r="N38" s="24"/>
      <c r="O38" s="24"/>
      <c r="P38" s="83" t="s">
        <v>4</v>
      </c>
      <c r="Q38" s="24"/>
      <c r="R38" s="24"/>
      <c r="S38" s="25"/>
      <c r="T38" s="25"/>
      <c r="U38" s="26" t="s">
        <v>2</v>
      </c>
      <c r="V38" s="26" t="s">
        <v>2</v>
      </c>
      <c r="W38" s="26" t="s">
        <v>2</v>
      </c>
      <c r="X38" s="26" t="s">
        <v>2</v>
      </c>
      <c r="Y38" s="26" t="s">
        <v>2</v>
      </c>
      <c r="Z38" s="27" t="s">
        <v>2</v>
      </c>
      <c r="AA38" s="27" t="s">
        <v>2</v>
      </c>
      <c r="AB38" s="24"/>
      <c r="AC38" s="24"/>
      <c r="AD38" s="24"/>
      <c r="AE38" s="24"/>
      <c r="AF38" s="30"/>
    </row>
    <row r="39" spans="2:36" x14ac:dyDescent="0.25">
      <c r="B39" s="31" t="s">
        <v>29</v>
      </c>
      <c r="C39" s="32"/>
      <c r="D39" s="32"/>
      <c r="E39" s="33"/>
      <c r="F39" s="33"/>
      <c r="G39" s="34" t="s">
        <v>2</v>
      </c>
      <c r="H39" s="34" t="s">
        <v>2</v>
      </c>
      <c r="I39" s="34" t="s">
        <v>2</v>
      </c>
      <c r="J39" s="34" t="s">
        <v>2</v>
      </c>
      <c r="K39" s="34" t="s">
        <v>2</v>
      </c>
      <c r="L39" s="35" t="s">
        <v>2</v>
      </c>
      <c r="M39" s="35" t="s">
        <v>2</v>
      </c>
      <c r="N39" s="32"/>
      <c r="O39" s="32"/>
      <c r="P39" s="85" t="s">
        <v>4</v>
      </c>
      <c r="Q39" s="32"/>
      <c r="R39" s="32"/>
      <c r="S39" s="33"/>
      <c r="T39" s="33"/>
      <c r="U39" s="32"/>
      <c r="V39" s="32"/>
      <c r="W39" s="32"/>
      <c r="X39" s="32"/>
      <c r="Y39" s="32"/>
      <c r="Z39" s="33"/>
      <c r="AA39" s="33"/>
      <c r="AB39" s="34" t="s">
        <v>2</v>
      </c>
      <c r="AC39" s="34" t="s">
        <v>2</v>
      </c>
      <c r="AD39" s="34" t="s">
        <v>2</v>
      </c>
      <c r="AE39" s="34" t="s">
        <v>2</v>
      </c>
      <c r="AF39" s="86" t="s">
        <v>2</v>
      </c>
    </row>
    <row r="41" spans="2:36" ht="21" customHeight="1" x14ac:dyDescent="0.25">
      <c r="B41" s="11"/>
      <c r="C41" s="138" t="s">
        <v>61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I41" s="2" t="s">
        <v>15</v>
      </c>
    </row>
    <row r="42" spans="2:36" x14ac:dyDescent="0.25">
      <c r="B42" s="137" t="s">
        <v>16</v>
      </c>
      <c r="C42" s="37" t="s">
        <v>18</v>
      </c>
      <c r="D42" s="13" t="s">
        <v>19</v>
      </c>
      <c r="E42" s="12" t="s">
        <v>20</v>
      </c>
      <c r="F42" s="12" t="s">
        <v>21</v>
      </c>
      <c r="G42" s="12" t="s">
        <v>22</v>
      </c>
      <c r="H42" s="12" t="s">
        <v>17</v>
      </c>
      <c r="I42" s="12" t="s">
        <v>6</v>
      </c>
      <c r="J42" s="13" t="s">
        <v>18</v>
      </c>
      <c r="K42" s="13" t="s">
        <v>19</v>
      </c>
      <c r="L42" s="12" t="s">
        <v>20</v>
      </c>
      <c r="M42" s="12" t="s">
        <v>21</v>
      </c>
      <c r="N42" s="12" t="s">
        <v>22</v>
      </c>
      <c r="O42" s="12" t="s">
        <v>17</v>
      </c>
      <c r="P42" s="12" t="s">
        <v>6</v>
      </c>
      <c r="Q42" s="13" t="s">
        <v>18</v>
      </c>
      <c r="R42" s="13" t="s">
        <v>19</v>
      </c>
      <c r="S42" s="12" t="s">
        <v>20</v>
      </c>
      <c r="T42" s="12" t="s">
        <v>21</v>
      </c>
      <c r="U42" s="12" t="s">
        <v>22</v>
      </c>
      <c r="V42" s="12" t="s">
        <v>17</v>
      </c>
      <c r="W42" s="12" t="s">
        <v>6</v>
      </c>
      <c r="X42" s="13" t="s">
        <v>18</v>
      </c>
      <c r="Y42" s="13" t="s">
        <v>19</v>
      </c>
      <c r="Z42" s="12" t="s">
        <v>20</v>
      </c>
      <c r="AA42" s="12" t="s">
        <v>21</v>
      </c>
      <c r="AB42" s="12" t="s">
        <v>22</v>
      </c>
      <c r="AC42" s="79" t="s">
        <v>17</v>
      </c>
      <c r="AD42" s="12" t="s">
        <v>6</v>
      </c>
      <c r="AE42" s="13" t="s">
        <v>18</v>
      </c>
      <c r="AF42" s="13" t="s">
        <v>19</v>
      </c>
      <c r="AG42" s="14" t="s">
        <v>20</v>
      </c>
      <c r="AI42" s="39" t="s">
        <v>62</v>
      </c>
      <c r="AJ42" s="40" t="s">
        <v>63</v>
      </c>
    </row>
    <row r="43" spans="2:36" x14ac:dyDescent="0.25">
      <c r="B43" s="137"/>
      <c r="C43" s="41">
        <v>1</v>
      </c>
      <c r="D43" s="16">
        <v>2</v>
      </c>
      <c r="E43" s="15">
        <v>3</v>
      </c>
      <c r="F43" s="15">
        <v>4</v>
      </c>
      <c r="G43" s="15">
        <v>5</v>
      </c>
      <c r="H43" s="15">
        <v>6</v>
      </c>
      <c r="I43" s="15">
        <v>7</v>
      </c>
      <c r="J43" s="16">
        <v>8</v>
      </c>
      <c r="K43" s="16">
        <v>9</v>
      </c>
      <c r="L43" s="15">
        <v>10</v>
      </c>
      <c r="M43" s="15">
        <v>11</v>
      </c>
      <c r="N43" s="15">
        <v>12</v>
      </c>
      <c r="O43" s="15">
        <v>13</v>
      </c>
      <c r="P43" s="15">
        <v>14</v>
      </c>
      <c r="Q43" s="16">
        <v>15</v>
      </c>
      <c r="R43" s="16">
        <v>16</v>
      </c>
      <c r="S43" s="15">
        <v>17</v>
      </c>
      <c r="T43" s="15">
        <v>18</v>
      </c>
      <c r="U43" s="15">
        <v>19</v>
      </c>
      <c r="V43" s="15">
        <v>20</v>
      </c>
      <c r="W43" s="15">
        <v>21</v>
      </c>
      <c r="X43" s="16">
        <v>22</v>
      </c>
      <c r="Y43" s="16">
        <v>23</v>
      </c>
      <c r="Z43" s="15">
        <v>24</v>
      </c>
      <c r="AA43" s="15">
        <v>25</v>
      </c>
      <c r="AB43" s="15">
        <v>26</v>
      </c>
      <c r="AC43" s="81">
        <v>27</v>
      </c>
      <c r="AD43" s="15">
        <v>28</v>
      </c>
      <c r="AE43" s="16">
        <v>29</v>
      </c>
      <c r="AF43" s="16">
        <v>30</v>
      </c>
      <c r="AG43" s="17">
        <v>31</v>
      </c>
      <c r="AI43" s="80" t="s">
        <v>64</v>
      </c>
      <c r="AJ43" s="40" t="s">
        <v>65</v>
      </c>
    </row>
    <row r="44" spans="2:36" x14ac:dyDescent="0.25">
      <c r="B44" s="18" t="s">
        <v>25</v>
      </c>
      <c r="C44" s="62" t="s">
        <v>4</v>
      </c>
      <c r="D44" s="43"/>
      <c r="E44" s="19" t="s">
        <v>2</v>
      </c>
      <c r="F44" s="19" t="s">
        <v>2</v>
      </c>
      <c r="G44" s="19" t="s">
        <v>2</v>
      </c>
      <c r="H44" s="19" t="s">
        <v>2</v>
      </c>
      <c r="I44" s="19" t="s">
        <v>2</v>
      </c>
      <c r="J44" s="20" t="s">
        <v>2</v>
      </c>
      <c r="K44" s="20" t="s">
        <v>2</v>
      </c>
      <c r="L44" s="21"/>
      <c r="M44" s="21"/>
      <c r="N44" s="21"/>
      <c r="O44" s="21"/>
      <c r="P44" s="21"/>
      <c r="Q44" s="43"/>
      <c r="R44" s="43"/>
      <c r="S44" s="19" t="s">
        <v>2</v>
      </c>
      <c r="T44" s="19" t="s">
        <v>2</v>
      </c>
      <c r="U44" s="19" t="s">
        <v>2</v>
      </c>
      <c r="V44" s="19" t="s">
        <v>2</v>
      </c>
      <c r="W44" s="19" t="s">
        <v>2</v>
      </c>
      <c r="X44" s="20" t="s">
        <v>2</v>
      </c>
      <c r="Y44" s="20" t="s">
        <v>2</v>
      </c>
      <c r="Z44" s="21"/>
      <c r="AA44" s="21"/>
      <c r="AB44" s="21"/>
      <c r="AC44" s="87" t="s">
        <v>4</v>
      </c>
      <c r="AD44" s="21"/>
      <c r="AE44" s="43"/>
      <c r="AF44" s="43"/>
      <c r="AG44" s="22"/>
    </row>
    <row r="45" spans="2:36" x14ac:dyDescent="0.25">
      <c r="B45" s="23" t="s">
        <v>26</v>
      </c>
      <c r="C45" s="46" t="s">
        <v>4</v>
      </c>
      <c r="D45" s="25"/>
      <c r="E45" s="24"/>
      <c r="F45" s="24"/>
      <c r="G45" s="24"/>
      <c r="H45" s="24"/>
      <c r="I45" s="24"/>
      <c r="J45" s="25"/>
      <c r="K45" s="25"/>
      <c r="L45" s="26" t="s">
        <v>2</v>
      </c>
      <c r="M45" s="26" t="s">
        <v>2</v>
      </c>
      <c r="N45" s="26" t="s">
        <v>2</v>
      </c>
      <c r="O45" s="26" t="s">
        <v>2</v>
      </c>
      <c r="P45" s="26" t="s">
        <v>2</v>
      </c>
      <c r="Q45" s="27" t="s">
        <v>2</v>
      </c>
      <c r="R45" s="27" t="s">
        <v>2</v>
      </c>
      <c r="S45" s="24"/>
      <c r="T45" s="24"/>
      <c r="U45" s="24"/>
      <c r="V45" s="24"/>
      <c r="W45" s="24"/>
      <c r="X45" s="25"/>
      <c r="Y45" s="25"/>
      <c r="Z45" s="26" t="s">
        <v>2</v>
      </c>
      <c r="AA45" s="26" t="s">
        <v>2</v>
      </c>
      <c r="AB45" s="26" t="s">
        <v>2</v>
      </c>
      <c r="AC45" s="84" t="s">
        <v>2</v>
      </c>
      <c r="AD45" s="26" t="s">
        <v>2</v>
      </c>
      <c r="AE45" s="27" t="s">
        <v>2</v>
      </c>
      <c r="AF45" s="27" t="s">
        <v>2</v>
      </c>
      <c r="AG45" s="30"/>
    </row>
    <row r="46" spans="2:36" x14ac:dyDescent="0.25">
      <c r="B46" s="23" t="s">
        <v>27</v>
      </c>
      <c r="C46" s="67" t="s">
        <v>2</v>
      </c>
      <c r="D46" s="27" t="s">
        <v>2</v>
      </c>
      <c r="E46" s="24"/>
      <c r="F46" s="24"/>
      <c r="G46" s="24"/>
      <c r="H46" s="24"/>
      <c r="I46" s="24"/>
      <c r="J46" s="25"/>
      <c r="K46" s="25"/>
      <c r="L46" s="24"/>
      <c r="M46" s="24"/>
      <c r="N46" s="24"/>
      <c r="O46" s="24"/>
      <c r="P46" s="24"/>
      <c r="Q46" s="25"/>
      <c r="R46" s="25"/>
      <c r="S46" s="26" t="s">
        <v>2</v>
      </c>
      <c r="T46" s="26" t="s">
        <v>2</v>
      </c>
      <c r="U46" s="26" t="s">
        <v>2</v>
      </c>
      <c r="V46" s="26" t="s">
        <v>2</v>
      </c>
      <c r="W46" s="26" t="s">
        <v>2</v>
      </c>
      <c r="X46" s="27" t="s">
        <v>2</v>
      </c>
      <c r="Y46" s="27" t="s">
        <v>2</v>
      </c>
      <c r="Z46" s="24"/>
      <c r="AA46" s="24"/>
      <c r="AB46" s="24"/>
      <c r="AC46" s="83" t="s">
        <v>4</v>
      </c>
      <c r="AD46" s="24"/>
      <c r="AE46" s="25"/>
      <c r="AF46" s="25"/>
      <c r="AG46" s="28" t="s">
        <v>2</v>
      </c>
    </row>
    <row r="47" spans="2:36" x14ac:dyDescent="0.25">
      <c r="B47" s="23" t="s">
        <v>28</v>
      </c>
      <c r="C47" s="46" t="s">
        <v>4</v>
      </c>
      <c r="D47" s="25"/>
      <c r="E47" s="26" t="s">
        <v>2</v>
      </c>
      <c r="F47" s="26" t="s">
        <v>2</v>
      </c>
      <c r="G47" s="26" t="s">
        <v>2</v>
      </c>
      <c r="H47" s="26" t="s">
        <v>2</v>
      </c>
      <c r="I47" s="26" t="s">
        <v>2</v>
      </c>
      <c r="J47" s="27" t="s">
        <v>2</v>
      </c>
      <c r="K47" s="27" t="s">
        <v>2</v>
      </c>
      <c r="L47" s="24"/>
      <c r="M47" s="24"/>
      <c r="N47" s="24"/>
      <c r="O47" s="24"/>
      <c r="P47" s="24"/>
      <c r="Q47" s="25"/>
      <c r="R47" s="25"/>
      <c r="S47" s="24"/>
      <c r="T47" s="24"/>
      <c r="U47" s="24"/>
      <c r="V47" s="24"/>
      <c r="W47" s="24"/>
      <c r="X47" s="25"/>
      <c r="Y47" s="25"/>
      <c r="Z47" s="26" t="s">
        <v>2</v>
      </c>
      <c r="AA47" s="26" t="s">
        <v>2</v>
      </c>
      <c r="AB47" s="26" t="s">
        <v>2</v>
      </c>
      <c r="AC47" s="84" t="s">
        <v>2</v>
      </c>
      <c r="AD47" s="26" t="s">
        <v>2</v>
      </c>
      <c r="AE47" s="27" t="s">
        <v>2</v>
      </c>
      <c r="AF47" s="27" t="s">
        <v>2</v>
      </c>
      <c r="AG47" s="30"/>
    </row>
    <row r="48" spans="2:36" x14ac:dyDescent="0.25">
      <c r="B48" s="31" t="s">
        <v>29</v>
      </c>
      <c r="C48" s="49" t="s">
        <v>2</v>
      </c>
      <c r="D48" s="35" t="s">
        <v>2</v>
      </c>
      <c r="E48" s="32"/>
      <c r="F48" s="32"/>
      <c r="G48" s="32"/>
      <c r="H48" s="32"/>
      <c r="I48" s="32"/>
      <c r="J48" s="33"/>
      <c r="K48" s="33"/>
      <c r="L48" s="34" t="s">
        <v>2</v>
      </c>
      <c r="M48" s="34" t="s">
        <v>2</v>
      </c>
      <c r="N48" s="34" t="s">
        <v>2</v>
      </c>
      <c r="O48" s="34" t="s">
        <v>2</v>
      </c>
      <c r="P48" s="34" t="s">
        <v>2</v>
      </c>
      <c r="Q48" s="35" t="s">
        <v>2</v>
      </c>
      <c r="R48" s="35" t="s">
        <v>2</v>
      </c>
      <c r="S48" s="32"/>
      <c r="T48" s="32"/>
      <c r="U48" s="32"/>
      <c r="V48" s="32"/>
      <c r="W48" s="32"/>
      <c r="X48" s="33"/>
      <c r="Y48" s="33"/>
      <c r="Z48" s="32"/>
      <c r="AA48" s="32"/>
      <c r="AB48" s="32"/>
      <c r="AC48" s="85" t="s">
        <v>4</v>
      </c>
      <c r="AD48" s="32"/>
      <c r="AE48" s="33"/>
      <c r="AF48" s="33"/>
      <c r="AG48" s="86" t="s">
        <v>2</v>
      </c>
    </row>
    <row r="50" spans="2:33" ht="21" customHeight="1" x14ac:dyDescent="0.25">
      <c r="B50" s="11"/>
      <c r="C50" s="138" t="s">
        <v>66</v>
      </c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</row>
    <row r="51" spans="2:33" x14ac:dyDescent="0.25">
      <c r="B51" s="137" t="s">
        <v>16</v>
      </c>
      <c r="C51" s="12" t="s">
        <v>21</v>
      </c>
      <c r="D51" s="12" t="s">
        <v>22</v>
      </c>
      <c r="E51" s="12" t="s">
        <v>17</v>
      </c>
      <c r="F51" s="12" t="s">
        <v>6</v>
      </c>
      <c r="G51" s="13" t="s">
        <v>18</v>
      </c>
      <c r="H51" s="13" t="s">
        <v>19</v>
      </c>
      <c r="I51" s="12" t="s">
        <v>20</v>
      </c>
      <c r="J51" s="12" t="s">
        <v>21</v>
      </c>
      <c r="K51" s="12" t="s">
        <v>22</v>
      </c>
      <c r="L51" s="12" t="s">
        <v>17</v>
      </c>
      <c r="M51" s="12" t="s">
        <v>6</v>
      </c>
      <c r="N51" s="13" t="s">
        <v>18</v>
      </c>
      <c r="O51" s="13" t="s">
        <v>19</v>
      </c>
      <c r="P51" s="12" t="s">
        <v>20</v>
      </c>
      <c r="Q51" s="12" t="s">
        <v>21</v>
      </c>
      <c r="R51" s="12" t="s">
        <v>22</v>
      </c>
      <c r="S51" s="12" t="s">
        <v>17</v>
      </c>
      <c r="T51" s="12" t="s">
        <v>6</v>
      </c>
      <c r="U51" s="13" t="s">
        <v>18</v>
      </c>
      <c r="V51" s="13" t="s">
        <v>19</v>
      </c>
      <c r="W51" s="12" t="s">
        <v>20</v>
      </c>
      <c r="X51" s="12" t="s">
        <v>21</v>
      </c>
      <c r="Y51" s="12" t="s">
        <v>22</v>
      </c>
      <c r="Z51" s="12" t="s">
        <v>17</v>
      </c>
      <c r="AA51" s="12" t="s">
        <v>6</v>
      </c>
      <c r="AB51" s="13" t="s">
        <v>18</v>
      </c>
      <c r="AC51" s="13" t="s">
        <v>19</v>
      </c>
      <c r="AD51" s="12" t="s">
        <v>20</v>
      </c>
      <c r="AE51" s="12" t="s">
        <v>21</v>
      </c>
      <c r="AF51" s="14" t="s">
        <v>22</v>
      </c>
    </row>
    <row r="52" spans="2:33" x14ac:dyDescent="0.25">
      <c r="B52" s="137"/>
      <c r="C52" s="15">
        <v>1</v>
      </c>
      <c r="D52" s="15">
        <v>2</v>
      </c>
      <c r="E52" s="15">
        <v>3</v>
      </c>
      <c r="F52" s="15">
        <v>4</v>
      </c>
      <c r="G52" s="16">
        <v>5</v>
      </c>
      <c r="H52" s="16">
        <v>6</v>
      </c>
      <c r="I52" s="15">
        <v>7</v>
      </c>
      <c r="J52" s="15">
        <v>8</v>
      </c>
      <c r="K52" s="15">
        <v>9</v>
      </c>
      <c r="L52" s="15">
        <v>10</v>
      </c>
      <c r="M52" s="15">
        <v>11</v>
      </c>
      <c r="N52" s="16">
        <v>12</v>
      </c>
      <c r="O52" s="16">
        <v>13</v>
      </c>
      <c r="P52" s="15">
        <v>14</v>
      </c>
      <c r="Q52" s="15">
        <v>15</v>
      </c>
      <c r="R52" s="15">
        <v>16</v>
      </c>
      <c r="S52" s="15">
        <v>17</v>
      </c>
      <c r="T52" s="15">
        <v>18</v>
      </c>
      <c r="U52" s="16">
        <v>19</v>
      </c>
      <c r="V52" s="16">
        <v>20</v>
      </c>
      <c r="W52" s="15">
        <v>21</v>
      </c>
      <c r="X52" s="15">
        <v>22</v>
      </c>
      <c r="Y52" s="15">
        <v>23</v>
      </c>
      <c r="Z52" s="15">
        <v>24</v>
      </c>
      <c r="AA52" s="15">
        <v>25</v>
      </c>
      <c r="AB52" s="16">
        <v>26</v>
      </c>
      <c r="AC52" s="16">
        <v>27</v>
      </c>
      <c r="AD52" s="15">
        <v>28</v>
      </c>
      <c r="AE52" s="15">
        <v>29</v>
      </c>
      <c r="AF52" s="17">
        <v>30</v>
      </c>
    </row>
    <row r="53" spans="2:33" x14ac:dyDescent="0.25">
      <c r="B53" s="18" t="s">
        <v>25</v>
      </c>
      <c r="C53" s="21"/>
      <c r="D53" s="21"/>
      <c r="E53" s="21"/>
      <c r="F53" s="21"/>
      <c r="G53" s="43"/>
      <c r="H53" s="43"/>
      <c r="I53" s="19" t="s">
        <v>2</v>
      </c>
      <c r="J53" s="19" t="s">
        <v>2</v>
      </c>
      <c r="K53" s="19" t="s">
        <v>2</v>
      </c>
      <c r="L53" s="19" t="s">
        <v>2</v>
      </c>
      <c r="M53" s="19" t="s">
        <v>2</v>
      </c>
      <c r="N53" s="20" t="s">
        <v>2</v>
      </c>
      <c r="O53" s="20" t="s">
        <v>2</v>
      </c>
      <c r="P53" s="21"/>
      <c r="Q53" s="21"/>
      <c r="R53" s="21"/>
      <c r="S53" s="21"/>
      <c r="T53" s="21"/>
      <c r="U53" s="43"/>
      <c r="V53" s="43"/>
      <c r="W53" s="21"/>
      <c r="X53" s="21"/>
      <c r="Y53" s="21"/>
      <c r="Z53" s="21"/>
      <c r="AA53" s="21"/>
      <c r="AB53" s="43"/>
      <c r="AC53" s="43"/>
      <c r="AD53" s="19" t="s">
        <v>2</v>
      </c>
      <c r="AE53" s="19" t="s">
        <v>2</v>
      </c>
      <c r="AF53" s="88" t="s">
        <v>2</v>
      </c>
    </row>
    <row r="54" spans="2:33" x14ac:dyDescent="0.25">
      <c r="B54" s="23" t="s">
        <v>26</v>
      </c>
      <c r="C54" s="24"/>
      <c r="D54" s="24"/>
      <c r="E54" s="24"/>
      <c r="F54" s="24"/>
      <c r="G54" s="25"/>
      <c r="H54" s="25"/>
      <c r="I54" s="24"/>
      <c r="J54" s="24"/>
      <c r="K54" s="24"/>
      <c r="L54" s="24"/>
      <c r="M54" s="24"/>
      <c r="N54" s="25"/>
      <c r="O54" s="25"/>
      <c r="P54" s="26" t="s">
        <v>2</v>
      </c>
      <c r="Q54" s="26" t="s">
        <v>2</v>
      </c>
      <c r="R54" s="26" t="s">
        <v>2</v>
      </c>
      <c r="S54" s="26" t="s">
        <v>2</v>
      </c>
      <c r="T54" s="26" t="s">
        <v>2</v>
      </c>
      <c r="U54" s="27" t="s">
        <v>2</v>
      </c>
      <c r="V54" s="27" t="s">
        <v>2</v>
      </c>
      <c r="W54" s="24"/>
      <c r="X54" s="24"/>
      <c r="Y54" s="24"/>
      <c r="Z54" s="24"/>
      <c r="AA54" s="24"/>
      <c r="AB54" s="25"/>
      <c r="AC54" s="25"/>
      <c r="AD54" s="26" t="s">
        <v>2</v>
      </c>
      <c r="AE54" s="26" t="s">
        <v>2</v>
      </c>
      <c r="AF54" s="28" t="s">
        <v>2</v>
      </c>
    </row>
    <row r="55" spans="2:33" x14ac:dyDescent="0.25">
      <c r="B55" s="23" t="s">
        <v>27</v>
      </c>
      <c r="C55" s="26" t="s">
        <v>2</v>
      </c>
      <c r="D55" s="26" t="s">
        <v>2</v>
      </c>
      <c r="E55" s="26" t="s">
        <v>2</v>
      </c>
      <c r="F55" s="26" t="s">
        <v>2</v>
      </c>
      <c r="G55" s="27" t="s">
        <v>2</v>
      </c>
      <c r="H55" s="27" t="s">
        <v>2</v>
      </c>
      <c r="I55" s="24"/>
      <c r="J55" s="24"/>
      <c r="K55" s="24"/>
      <c r="L55" s="24"/>
      <c r="M55" s="24"/>
      <c r="N55" s="25"/>
      <c r="O55" s="25"/>
      <c r="P55" s="24"/>
      <c r="Q55" s="24"/>
      <c r="R55" s="24"/>
      <c r="S55" s="24"/>
      <c r="T55" s="24"/>
      <c r="U55" s="25"/>
      <c r="V55" s="25"/>
      <c r="W55" s="26" t="s">
        <v>2</v>
      </c>
      <c r="X55" s="26" t="s">
        <v>2</v>
      </c>
      <c r="Y55" s="26" t="s">
        <v>2</v>
      </c>
      <c r="Z55" s="26" t="s">
        <v>2</v>
      </c>
      <c r="AA55" s="26" t="s">
        <v>2</v>
      </c>
      <c r="AB55" s="27" t="s">
        <v>2</v>
      </c>
      <c r="AC55" s="27" t="s">
        <v>2</v>
      </c>
      <c r="AD55" s="24"/>
      <c r="AE55" s="24"/>
      <c r="AF55" s="30"/>
    </row>
    <row r="56" spans="2:33" x14ac:dyDescent="0.25">
      <c r="B56" s="23" t="s">
        <v>28</v>
      </c>
      <c r="C56" s="24"/>
      <c r="D56" s="24"/>
      <c r="E56" s="24"/>
      <c r="F56" s="24"/>
      <c r="G56" s="25"/>
      <c r="H56" s="25"/>
      <c r="I56" s="26" t="s">
        <v>2</v>
      </c>
      <c r="J56" s="26" t="s">
        <v>2</v>
      </c>
      <c r="K56" s="26" t="s">
        <v>2</v>
      </c>
      <c r="L56" s="26" t="s">
        <v>2</v>
      </c>
      <c r="M56" s="26" t="s">
        <v>2</v>
      </c>
      <c r="N56" s="27" t="s">
        <v>2</v>
      </c>
      <c r="O56" s="27" t="s">
        <v>2</v>
      </c>
      <c r="P56" s="24"/>
      <c r="Q56" s="24"/>
      <c r="R56" s="24"/>
      <c r="S56" s="24"/>
      <c r="T56" s="24"/>
      <c r="U56" s="25"/>
      <c r="V56" s="25"/>
      <c r="W56" s="26" t="s">
        <v>2</v>
      </c>
      <c r="X56" s="26" t="s">
        <v>2</v>
      </c>
      <c r="Y56" s="26" t="s">
        <v>2</v>
      </c>
      <c r="Z56" s="26" t="s">
        <v>2</v>
      </c>
      <c r="AA56" s="26" t="s">
        <v>2</v>
      </c>
      <c r="AB56" s="27" t="s">
        <v>2</v>
      </c>
      <c r="AC56" s="27" t="s">
        <v>2</v>
      </c>
      <c r="AD56" s="24"/>
      <c r="AE56" s="24"/>
      <c r="AF56" s="30"/>
    </row>
    <row r="57" spans="2:33" x14ac:dyDescent="0.25">
      <c r="B57" s="31" t="s">
        <v>29</v>
      </c>
      <c r="C57" s="34" t="s">
        <v>2</v>
      </c>
      <c r="D57" s="34" t="s">
        <v>2</v>
      </c>
      <c r="E57" s="34" t="s">
        <v>2</v>
      </c>
      <c r="F57" s="34" t="s">
        <v>2</v>
      </c>
      <c r="G57" s="35" t="s">
        <v>2</v>
      </c>
      <c r="H57" s="35" t="s">
        <v>2</v>
      </c>
      <c r="I57" s="32"/>
      <c r="J57" s="32"/>
      <c r="K57" s="32"/>
      <c r="L57" s="32"/>
      <c r="M57" s="32"/>
      <c r="N57" s="33"/>
      <c r="O57" s="33"/>
      <c r="P57" s="34" t="s">
        <v>2</v>
      </c>
      <c r="Q57" s="34" t="s">
        <v>2</v>
      </c>
      <c r="R57" s="34" t="s">
        <v>2</v>
      </c>
      <c r="S57" s="34" t="s">
        <v>2</v>
      </c>
      <c r="T57" s="34" t="s">
        <v>2</v>
      </c>
      <c r="U57" s="35" t="s">
        <v>2</v>
      </c>
      <c r="V57" s="35" t="s">
        <v>2</v>
      </c>
      <c r="W57" s="32"/>
      <c r="X57" s="32"/>
      <c r="Y57" s="32"/>
      <c r="Z57" s="32"/>
      <c r="AA57" s="32"/>
      <c r="AB57" s="33"/>
      <c r="AC57" s="33"/>
      <c r="AD57" s="32"/>
      <c r="AE57" s="32"/>
      <c r="AF57" s="36"/>
    </row>
    <row r="59" spans="2:33" ht="21" customHeight="1" x14ac:dyDescent="0.25">
      <c r="B59" s="11"/>
      <c r="C59" s="138" t="s">
        <v>67</v>
      </c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</row>
    <row r="60" spans="2:33" x14ac:dyDescent="0.25">
      <c r="B60" s="137" t="s">
        <v>16</v>
      </c>
      <c r="C60" s="12" t="s">
        <v>17</v>
      </c>
      <c r="D60" s="12" t="s">
        <v>6</v>
      </c>
      <c r="E60" s="13" t="s">
        <v>18</v>
      </c>
      <c r="F60" s="13" t="s">
        <v>19</v>
      </c>
      <c r="G60" s="12" t="s">
        <v>20</v>
      </c>
      <c r="H60" s="12" t="s">
        <v>21</v>
      </c>
      <c r="I60" s="12" t="s">
        <v>22</v>
      </c>
      <c r="J60" s="12" t="s">
        <v>17</v>
      </c>
      <c r="K60" s="12" t="s">
        <v>6</v>
      </c>
      <c r="L60" s="13" t="s">
        <v>18</v>
      </c>
      <c r="M60" s="13" t="s">
        <v>19</v>
      </c>
      <c r="N60" s="12" t="s">
        <v>20</v>
      </c>
      <c r="O60" s="12" t="s">
        <v>21</v>
      </c>
      <c r="P60" s="12" t="s">
        <v>22</v>
      </c>
      <c r="Q60" s="12" t="s">
        <v>17</v>
      </c>
      <c r="R60" s="12" t="s">
        <v>6</v>
      </c>
      <c r="S60" s="13" t="s">
        <v>18</v>
      </c>
      <c r="T60" s="13" t="s">
        <v>19</v>
      </c>
      <c r="U60" s="12" t="s">
        <v>20</v>
      </c>
      <c r="V60" s="12" t="s">
        <v>21</v>
      </c>
      <c r="W60" s="12" t="s">
        <v>22</v>
      </c>
      <c r="X60" s="12" t="s">
        <v>17</v>
      </c>
      <c r="Y60" s="12" t="s">
        <v>6</v>
      </c>
      <c r="Z60" s="13" t="s">
        <v>18</v>
      </c>
      <c r="AA60" s="13" t="s">
        <v>19</v>
      </c>
      <c r="AB60" s="12" t="s">
        <v>20</v>
      </c>
      <c r="AC60" s="12" t="s">
        <v>21</v>
      </c>
      <c r="AD60" s="12" t="s">
        <v>22</v>
      </c>
      <c r="AE60" s="12" t="s">
        <v>17</v>
      </c>
      <c r="AF60" s="12" t="s">
        <v>6</v>
      </c>
      <c r="AG60" s="38" t="s">
        <v>18</v>
      </c>
    </row>
    <row r="61" spans="2:33" x14ac:dyDescent="0.25">
      <c r="B61" s="137"/>
      <c r="C61" s="15">
        <v>1</v>
      </c>
      <c r="D61" s="15">
        <v>2</v>
      </c>
      <c r="E61" s="16">
        <v>3</v>
      </c>
      <c r="F61" s="16">
        <v>4</v>
      </c>
      <c r="G61" s="15">
        <v>5</v>
      </c>
      <c r="H61" s="15">
        <v>6</v>
      </c>
      <c r="I61" s="15">
        <v>7</v>
      </c>
      <c r="J61" s="15">
        <v>8</v>
      </c>
      <c r="K61" s="15">
        <v>9</v>
      </c>
      <c r="L61" s="16">
        <v>10</v>
      </c>
      <c r="M61" s="16">
        <v>11</v>
      </c>
      <c r="N61" s="15">
        <v>12</v>
      </c>
      <c r="O61" s="15">
        <v>13</v>
      </c>
      <c r="P61" s="15">
        <v>14</v>
      </c>
      <c r="Q61" s="15">
        <v>15</v>
      </c>
      <c r="R61" s="15">
        <v>16</v>
      </c>
      <c r="S61" s="16">
        <v>17</v>
      </c>
      <c r="T61" s="16">
        <v>18</v>
      </c>
      <c r="U61" s="15">
        <v>19</v>
      </c>
      <c r="V61" s="15">
        <v>20</v>
      </c>
      <c r="W61" s="15">
        <v>21</v>
      </c>
      <c r="X61" s="15">
        <v>22</v>
      </c>
      <c r="Y61" s="15">
        <v>23</v>
      </c>
      <c r="Z61" s="16">
        <v>24</v>
      </c>
      <c r="AA61" s="16">
        <v>25</v>
      </c>
      <c r="AB61" s="15">
        <v>26</v>
      </c>
      <c r="AC61" s="15">
        <v>27</v>
      </c>
      <c r="AD61" s="15">
        <v>28</v>
      </c>
      <c r="AE61" s="15">
        <v>29</v>
      </c>
      <c r="AF61" s="15">
        <v>30</v>
      </c>
      <c r="AG61" s="42">
        <v>31</v>
      </c>
    </row>
    <row r="62" spans="2:33" x14ac:dyDescent="0.25">
      <c r="B62" s="18" t="s">
        <v>25</v>
      </c>
      <c r="C62" s="19" t="s">
        <v>2</v>
      </c>
      <c r="D62" s="19" t="s">
        <v>2</v>
      </c>
      <c r="E62" s="20" t="s">
        <v>2</v>
      </c>
      <c r="F62" s="20" t="s">
        <v>2</v>
      </c>
      <c r="G62" s="21"/>
      <c r="H62" s="21"/>
      <c r="I62" s="21"/>
      <c r="J62" s="21"/>
      <c r="K62" s="21"/>
      <c r="L62" s="43"/>
      <c r="M62" s="43"/>
      <c r="N62" s="19" t="s">
        <v>2</v>
      </c>
      <c r="O62" s="19" t="s">
        <v>2</v>
      </c>
      <c r="P62" s="19" t="s">
        <v>2</v>
      </c>
      <c r="Q62" s="19" t="s">
        <v>2</v>
      </c>
      <c r="R62" s="19" t="s">
        <v>2</v>
      </c>
      <c r="S62" s="20" t="s">
        <v>2</v>
      </c>
      <c r="T62" s="20" t="s">
        <v>2</v>
      </c>
      <c r="U62" s="21"/>
      <c r="V62" s="21"/>
      <c r="W62" s="21"/>
      <c r="X62" s="21"/>
      <c r="Y62" s="21"/>
      <c r="Z62" s="43"/>
      <c r="AA62" s="43"/>
      <c r="AB62" s="21"/>
      <c r="AC62" s="21"/>
      <c r="AD62" s="21"/>
      <c r="AE62" s="21"/>
      <c r="AF62" s="21"/>
      <c r="AG62" s="74"/>
    </row>
    <row r="63" spans="2:33" x14ac:dyDescent="0.25">
      <c r="B63" s="23" t="s">
        <v>26</v>
      </c>
      <c r="C63" s="26" t="s">
        <v>2</v>
      </c>
      <c r="D63" s="26" t="s">
        <v>2</v>
      </c>
      <c r="E63" s="27" t="s">
        <v>2</v>
      </c>
      <c r="F63" s="27" t="s">
        <v>2</v>
      </c>
      <c r="G63" s="24"/>
      <c r="H63" s="24"/>
      <c r="I63" s="24"/>
      <c r="J63" s="24"/>
      <c r="K63" s="24"/>
      <c r="L63" s="25"/>
      <c r="M63" s="25"/>
      <c r="N63" s="24"/>
      <c r="O63" s="24"/>
      <c r="P63" s="24"/>
      <c r="Q63" s="24"/>
      <c r="R63" s="24"/>
      <c r="S63" s="25"/>
      <c r="T63" s="25"/>
      <c r="U63" s="26" t="s">
        <v>2</v>
      </c>
      <c r="V63" s="26" t="s">
        <v>2</v>
      </c>
      <c r="W63" s="26" t="s">
        <v>2</v>
      </c>
      <c r="X63" s="26" t="s">
        <v>2</v>
      </c>
      <c r="Y63" s="26" t="s">
        <v>2</v>
      </c>
      <c r="Z63" s="27" t="s">
        <v>2</v>
      </c>
      <c r="AA63" s="27" t="s">
        <v>2</v>
      </c>
      <c r="AB63" s="24"/>
      <c r="AC63" s="24"/>
      <c r="AD63" s="24"/>
      <c r="AE63" s="24"/>
      <c r="AF63" s="24"/>
      <c r="AG63" s="48"/>
    </row>
    <row r="64" spans="2:33" x14ac:dyDescent="0.25">
      <c r="B64" s="23" t="s">
        <v>27</v>
      </c>
      <c r="C64" s="24"/>
      <c r="D64" s="24"/>
      <c r="E64" s="25"/>
      <c r="F64" s="25"/>
      <c r="G64" s="26" t="s">
        <v>2</v>
      </c>
      <c r="H64" s="26" t="s">
        <v>2</v>
      </c>
      <c r="I64" s="26" t="s">
        <v>2</v>
      </c>
      <c r="J64" s="26" t="s">
        <v>2</v>
      </c>
      <c r="K64" s="26" t="s">
        <v>2</v>
      </c>
      <c r="L64" s="27" t="s">
        <v>2</v>
      </c>
      <c r="M64" s="27" t="s">
        <v>2</v>
      </c>
      <c r="N64" s="24"/>
      <c r="O64" s="24"/>
      <c r="P64" s="24"/>
      <c r="Q64" s="24"/>
      <c r="R64" s="24"/>
      <c r="S64" s="25"/>
      <c r="T64" s="25"/>
      <c r="U64" s="26" t="s">
        <v>2</v>
      </c>
      <c r="V64" s="26" t="s">
        <v>2</v>
      </c>
      <c r="W64" s="26" t="s">
        <v>2</v>
      </c>
      <c r="X64" s="26" t="s">
        <v>2</v>
      </c>
      <c r="Y64" s="26" t="s">
        <v>2</v>
      </c>
      <c r="Z64" s="27" t="s">
        <v>2</v>
      </c>
      <c r="AA64" s="27" t="s">
        <v>2</v>
      </c>
      <c r="AB64" s="24"/>
      <c r="AC64" s="24"/>
      <c r="AD64" s="24"/>
      <c r="AE64" s="24"/>
      <c r="AF64" s="24"/>
      <c r="AG64" s="48"/>
    </row>
    <row r="65" spans="2:36" x14ac:dyDescent="0.25">
      <c r="B65" s="23" t="s">
        <v>28</v>
      </c>
      <c r="C65" s="24"/>
      <c r="D65" s="24"/>
      <c r="E65" s="25"/>
      <c r="F65" s="25"/>
      <c r="G65" s="24"/>
      <c r="H65" s="24"/>
      <c r="I65" s="24"/>
      <c r="J65" s="24"/>
      <c r="K65" s="24"/>
      <c r="L65" s="25"/>
      <c r="M65" s="25"/>
      <c r="N65" s="26" t="s">
        <v>2</v>
      </c>
      <c r="O65" s="26" t="s">
        <v>2</v>
      </c>
      <c r="P65" s="26" t="s">
        <v>2</v>
      </c>
      <c r="Q65" s="26" t="s">
        <v>2</v>
      </c>
      <c r="R65" s="26" t="s">
        <v>2</v>
      </c>
      <c r="S65" s="27" t="s">
        <v>2</v>
      </c>
      <c r="T65" s="27" t="s">
        <v>2</v>
      </c>
      <c r="U65" s="24"/>
      <c r="V65" s="24"/>
      <c r="W65" s="24"/>
      <c r="X65" s="24"/>
      <c r="Y65" s="24"/>
      <c r="Z65" s="25"/>
      <c r="AA65" s="25"/>
      <c r="AB65" s="26" t="s">
        <v>2</v>
      </c>
      <c r="AC65" s="26" t="s">
        <v>2</v>
      </c>
      <c r="AD65" s="26" t="s">
        <v>2</v>
      </c>
      <c r="AE65" s="26" t="s">
        <v>2</v>
      </c>
      <c r="AF65" s="26" t="s">
        <v>2</v>
      </c>
      <c r="AG65" s="47" t="s">
        <v>2</v>
      </c>
    </row>
    <row r="66" spans="2:36" x14ac:dyDescent="0.25">
      <c r="B66" s="31" t="s">
        <v>29</v>
      </c>
      <c r="C66" s="32"/>
      <c r="D66" s="32"/>
      <c r="E66" s="33"/>
      <c r="F66" s="33"/>
      <c r="G66" s="34" t="s">
        <v>2</v>
      </c>
      <c r="H66" s="34" t="s">
        <v>2</v>
      </c>
      <c r="I66" s="34" t="s">
        <v>2</v>
      </c>
      <c r="J66" s="34" t="s">
        <v>2</v>
      </c>
      <c r="K66" s="34" t="s">
        <v>2</v>
      </c>
      <c r="L66" s="35" t="s">
        <v>2</v>
      </c>
      <c r="M66" s="35" t="s">
        <v>2</v>
      </c>
      <c r="N66" s="32"/>
      <c r="O66" s="32"/>
      <c r="P66" s="32"/>
      <c r="Q66" s="32"/>
      <c r="R66" s="32"/>
      <c r="S66" s="33"/>
      <c r="T66" s="33"/>
      <c r="U66" s="32"/>
      <c r="V66" s="32"/>
      <c r="W66" s="32"/>
      <c r="X66" s="32"/>
      <c r="Y66" s="32"/>
      <c r="Z66" s="33"/>
      <c r="AA66" s="33"/>
      <c r="AB66" s="34" t="s">
        <v>2</v>
      </c>
      <c r="AC66" s="34" t="s">
        <v>2</v>
      </c>
      <c r="AD66" s="34" t="s">
        <v>2</v>
      </c>
      <c r="AE66" s="34" t="s">
        <v>2</v>
      </c>
      <c r="AF66" s="34" t="s">
        <v>2</v>
      </c>
      <c r="AG66" s="76" t="s">
        <v>2</v>
      </c>
    </row>
    <row r="68" spans="2:36" ht="21" customHeight="1" x14ac:dyDescent="0.25">
      <c r="B68" s="11"/>
      <c r="C68" s="138" t="s">
        <v>68</v>
      </c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I68" s="2" t="s">
        <v>15</v>
      </c>
    </row>
    <row r="69" spans="2:36" x14ac:dyDescent="0.25">
      <c r="B69" s="137" t="s">
        <v>16</v>
      </c>
      <c r="C69" s="13" t="s">
        <v>19</v>
      </c>
      <c r="D69" s="12" t="s">
        <v>20</v>
      </c>
      <c r="E69" s="12" t="s">
        <v>21</v>
      </c>
      <c r="F69" s="12" t="s">
        <v>22</v>
      </c>
      <c r="G69" s="12" t="s">
        <v>17</v>
      </c>
      <c r="H69" s="12" t="s">
        <v>6</v>
      </c>
      <c r="I69" s="13" t="s">
        <v>18</v>
      </c>
      <c r="J69" s="13" t="s">
        <v>19</v>
      </c>
      <c r="K69" s="12" t="s">
        <v>20</v>
      </c>
      <c r="L69" s="12" t="s">
        <v>21</v>
      </c>
      <c r="M69" s="12" t="s">
        <v>22</v>
      </c>
      <c r="N69" s="12" t="s">
        <v>17</v>
      </c>
      <c r="O69" s="12" t="s">
        <v>6</v>
      </c>
      <c r="P69" s="13" t="s">
        <v>18</v>
      </c>
      <c r="Q69" s="13" t="s">
        <v>19</v>
      </c>
      <c r="R69" s="51" t="s">
        <v>20</v>
      </c>
      <c r="S69" s="12" t="s">
        <v>21</v>
      </c>
      <c r="T69" s="12" t="s">
        <v>22</v>
      </c>
      <c r="U69" s="12" t="s">
        <v>17</v>
      </c>
      <c r="V69" s="12" t="s">
        <v>6</v>
      </c>
      <c r="W69" s="13" t="s">
        <v>18</v>
      </c>
      <c r="X69" s="13" t="s">
        <v>19</v>
      </c>
      <c r="Y69" s="12" t="s">
        <v>20</v>
      </c>
      <c r="Z69" s="12" t="s">
        <v>21</v>
      </c>
      <c r="AA69" s="12" t="s">
        <v>22</v>
      </c>
      <c r="AB69" s="12" t="s">
        <v>17</v>
      </c>
      <c r="AC69" s="12" t="s">
        <v>6</v>
      </c>
      <c r="AD69" s="13" t="s">
        <v>18</v>
      </c>
      <c r="AE69" s="13" t="s">
        <v>19</v>
      </c>
      <c r="AF69" s="12" t="s">
        <v>20</v>
      </c>
      <c r="AG69" s="14" t="s">
        <v>21</v>
      </c>
      <c r="AI69" s="52" t="s">
        <v>69</v>
      </c>
      <c r="AJ69" s="40" t="s">
        <v>70</v>
      </c>
    </row>
    <row r="70" spans="2:36" x14ac:dyDescent="0.25">
      <c r="B70" s="137"/>
      <c r="C70" s="16">
        <v>1</v>
      </c>
      <c r="D70" s="15">
        <v>2</v>
      </c>
      <c r="E70" s="15">
        <v>3</v>
      </c>
      <c r="F70" s="15">
        <v>4</v>
      </c>
      <c r="G70" s="15">
        <v>5</v>
      </c>
      <c r="H70" s="15">
        <v>6</v>
      </c>
      <c r="I70" s="16">
        <v>7</v>
      </c>
      <c r="J70" s="16">
        <v>8</v>
      </c>
      <c r="K70" s="15">
        <v>9</v>
      </c>
      <c r="L70" s="15">
        <v>10</v>
      </c>
      <c r="M70" s="15">
        <v>11</v>
      </c>
      <c r="N70" s="15">
        <v>12</v>
      </c>
      <c r="O70" s="15">
        <v>13</v>
      </c>
      <c r="P70" s="16">
        <v>14</v>
      </c>
      <c r="Q70" s="16">
        <v>15</v>
      </c>
      <c r="R70" s="53">
        <v>16</v>
      </c>
      <c r="S70" s="15">
        <v>17</v>
      </c>
      <c r="T70" s="15">
        <v>18</v>
      </c>
      <c r="U70" s="15">
        <v>19</v>
      </c>
      <c r="V70" s="15">
        <v>20</v>
      </c>
      <c r="W70" s="16">
        <v>21</v>
      </c>
      <c r="X70" s="16">
        <v>22</v>
      </c>
      <c r="Y70" s="15">
        <v>23</v>
      </c>
      <c r="Z70" s="15">
        <v>24</v>
      </c>
      <c r="AA70" s="15">
        <v>25</v>
      </c>
      <c r="AB70" s="15">
        <v>26</v>
      </c>
      <c r="AC70" s="15">
        <v>27</v>
      </c>
      <c r="AD70" s="16">
        <v>28</v>
      </c>
      <c r="AE70" s="16">
        <v>29</v>
      </c>
      <c r="AF70" s="15">
        <v>30</v>
      </c>
      <c r="AG70" s="17">
        <v>31</v>
      </c>
    </row>
    <row r="71" spans="2:36" x14ac:dyDescent="0.25">
      <c r="B71" s="18" t="s">
        <v>25</v>
      </c>
      <c r="C71" s="43"/>
      <c r="D71" s="19" t="s">
        <v>2</v>
      </c>
      <c r="E71" s="19" t="s">
        <v>2</v>
      </c>
      <c r="F71" s="19" t="s">
        <v>2</v>
      </c>
      <c r="G71" s="19" t="s">
        <v>2</v>
      </c>
      <c r="H71" s="19" t="s">
        <v>2</v>
      </c>
      <c r="I71" s="20" t="s">
        <v>2</v>
      </c>
      <c r="J71" s="20" t="s">
        <v>2</v>
      </c>
      <c r="K71" s="21"/>
      <c r="L71" s="21"/>
      <c r="M71" s="21"/>
      <c r="N71" s="21"/>
      <c r="O71" s="21"/>
      <c r="P71" s="43"/>
      <c r="Q71" s="43"/>
      <c r="R71" s="54" t="s">
        <v>4</v>
      </c>
      <c r="S71" s="21"/>
      <c r="T71" s="21"/>
      <c r="U71" s="21"/>
      <c r="V71" s="21"/>
      <c r="W71" s="43"/>
      <c r="X71" s="43"/>
      <c r="Y71" s="19" t="s">
        <v>2</v>
      </c>
      <c r="Z71" s="19" t="s">
        <v>2</v>
      </c>
      <c r="AA71" s="19" t="s">
        <v>2</v>
      </c>
      <c r="AB71" s="19" t="s">
        <v>2</v>
      </c>
      <c r="AC71" s="19" t="s">
        <v>2</v>
      </c>
      <c r="AD71" s="20" t="s">
        <v>2</v>
      </c>
      <c r="AE71" s="20" t="s">
        <v>2</v>
      </c>
      <c r="AF71" s="21"/>
      <c r="AG71" s="22"/>
    </row>
    <row r="72" spans="2:36" x14ac:dyDescent="0.25">
      <c r="B72" s="23" t="s">
        <v>26</v>
      </c>
      <c r="C72" s="25"/>
      <c r="D72" s="26" t="s">
        <v>2</v>
      </c>
      <c r="E72" s="26" t="s">
        <v>2</v>
      </c>
      <c r="F72" s="26" t="s">
        <v>2</v>
      </c>
      <c r="G72" s="26" t="s">
        <v>2</v>
      </c>
      <c r="H72" s="26" t="s">
        <v>2</v>
      </c>
      <c r="I72" s="27" t="s">
        <v>2</v>
      </c>
      <c r="J72" s="27" t="s">
        <v>2</v>
      </c>
      <c r="K72" s="24"/>
      <c r="L72" s="24"/>
      <c r="M72" s="24"/>
      <c r="N72" s="24"/>
      <c r="O72" s="24"/>
      <c r="P72" s="25"/>
      <c r="Q72" s="25"/>
      <c r="R72" s="56" t="s">
        <v>2</v>
      </c>
      <c r="S72" s="26" t="s">
        <v>2</v>
      </c>
      <c r="T72" s="26" t="s">
        <v>2</v>
      </c>
      <c r="U72" s="26" t="s">
        <v>2</v>
      </c>
      <c r="V72" s="26" t="s">
        <v>2</v>
      </c>
      <c r="W72" s="27" t="s">
        <v>2</v>
      </c>
      <c r="X72" s="27" t="s">
        <v>2</v>
      </c>
      <c r="Y72" s="24"/>
      <c r="Z72" s="24"/>
      <c r="AA72" s="24"/>
      <c r="AB72" s="24"/>
      <c r="AC72" s="24"/>
      <c r="AD72" s="25"/>
      <c r="AE72" s="25"/>
      <c r="AF72" s="24"/>
      <c r="AG72" s="30"/>
    </row>
    <row r="73" spans="2:36" x14ac:dyDescent="0.25">
      <c r="B73" s="23" t="s">
        <v>27</v>
      </c>
      <c r="C73" s="25"/>
      <c r="D73" s="24"/>
      <c r="E73" s="24"/>
      <c r="F73" s="24"/>
      <c r="G73" s="24"/>
      <c r="H73" s="24"/>
      <c r="I73" s="25"/>
      <c r="J73" s="25"/>
      <c r="K73" s="26" t="s">
        <v>2</v>
      </c>
      <c r="L73" s="26" t="s">
        <v>2</v>
      </c>
      <c r="M73" s="26" t="s">
        <v>2</v>
      </c>
      <c r="N73" s="26" t="s">
        <v>2</v>
      </c>
      <c r="O73" s="26" t="s">
        <v>2</v>
      </c>
      <c r="P73" s="27" t="s">
        <v>2</v>
      </c>
      <c r="Q73" s="27" t="s">
        <v>2</v>
      </c>
      <c r="R73" s="55" t="s">
        <v>4</v>
      </c>
      <c r="S73" s="24"/>
      <c r="T73" s="24"/>
      <c r="U73" s="24"/>
      <c r="V73" s="24"/>
      <c r="W73" s="25"/>
      <c r="X73" s="25"/>
      <c r="Y73" s="26" t="s">
        <v>2</v>
      </c>
      <c r="Z73" s="26" t="s">
        <v>2</v>
      </c>
      <c r="AA73" s="26" t="s">
        <v>2</v>
      </c>
      <c r="AB73" s="26" t="s">
        <v>2</v>
      </c>
      <c r="AC73" s="26" t="s">
        <v>2</v>
      </c>
      <c r="AD73" s="27" t="s">
        <v>2</v>
      </c>
      <c r="AE73" s="27" t="s">
        <v>2</v>
      </c>
      <c r="AF73" s="24"/>
      <c r="AG73" s="30"/>
    </row>
    <row r="74" spans="2:36" x14ac:dyDescent="0.25">
      <c r="B74" s="23" t="s">
        <v>28</v>
      </c>
      <c r="C74" s="27" t="s">
        <v>2</v>
      </c>
      <c r="D74" s="24"/>
      <c r="E74" s="24"/>
      <c r="F74" s="24"/>
      <c r="G74" s="24"/>
      <c r="H74" s="24"/>
      <c r="I74" s="25"/>
      <c r="J74" s="25"/>
      <c r="K74" s="24"/>
      <c r="L74" s="24"/>
      <c r="M74" s="24"/>
      <c r="N74" s="24"/>
      <c r="O74" s="24"/>
      <c r="P74" s="25"/>
      <c r="Q74" s="25"/>
      <c r="R74" s="56" t="s">
        <v>2</v>
      </c>
      <c r="S74" s="26" t="s">
        <v>2</v>
      </c>
      <c r="T74" s="26" t="s">
        <v>2</v>
      </c>
      <c r="U74" s="26" t="s">
        <v>2</v>
      </c>
      <c r="V74" s="26" t="s">
        <v>2</v>
      </c>
      <c r="W74" s="27" t="s">
        <v>2</v>
      </c>
      <c r="X74" s="27" t="s">
        <v>2</v>
      </c>
      <c r="Y74" s="24"/>
      <c r="Z74" s="24"/>
      <c r="AA74" s="24"/>
      <c r="AB74" s="24"/>
      <c r="AC74" s="24"/>
      <c r="AD74" s="25"/>
      <c r="AE74" s="25"/>
      <c r="AF74" s="26" t="s">
        <v>2</v>
      </c>
      <c r="AG74" s="28" t="s">
        <v>2</v>
      </c>
    </row>
    <row r="75" spans="2:36" x14ac:dyDescent="0.25">
      <c r="B75" s="31" t="s">
        <v>29</v>
      </c>
      <c r="C75" s="35" t="s">
        <v>2</v>
      </c>
      <c r="D75" s="32"/>
      <c r="E75" s="32"/>
      <c r="F75" s="32"/>
      <c r="G75" s="32"/>
      <c r="H75" s="32"/>
      <c r="I75" s="33"/>
      <c r="J75" s="33"/>
      <c r="K75" s="34" t="s">
        <v>2</v>
      </c>
      <c r="L75" s="34" t="s">
        <v>2</v>
      </c>
      <c r="M75" s="34" t="s">
        <v>2</v>
      </c>
      <c r="N75" s="34" t="s">
        <v>2</v>
      </c>
      <c r="O75" s="34" t="s">
        <v>2</v>
      </c>
      <c r="P75" s="35" t="s">
        <v>2</v>
      </c>
      <c r="Q75" s="35" t="s">
        <v>2</v>
      </c>
      <c r="R75" s="78" t="s">
        <v>4</v>
      </c>
      <c r="S75" s="32"/>
      <c r="T75" s="32"/>
      <c r="U75" s="32"/>
      <c r="V75" s="32"/>
      <c r="W75" s="33"/>
      <c r="X75" s="33"/>
      <c r="Y75" s="32"/>
      <c r="Z75" s="32"/>
      <c r="AA75" s="32"/>
      <c r="AB75" s="32"/>
      <c r="AC75" s="32"/>
      <c r="AD75" s="33"/>
      <c r="AE75" s="33"/>
      <c r="AF75" s="34" t="s">
        <v>2</v>
      </c>
      <c r="AG75" s="86" t="s">
        <v>2</v>
      </c>
    </row>
    <row r="77" spans="2:36" ht="21" customHeight="1" x14ac:dyDescent="0.25">
      <c r="B77" s="11"/>
      <c r="C77" s="138" t="s">
        <v>71</v>
      </c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</row>
    <row r="78" spans="2:36" x14ac:dyDescent="0.25">
      <c r="B78" s="137" t="s">
        <v>16</v>
      </c>
      <c r="C78" s="12" t="s">
        <v>22</v>
      </c>
      <c r="D78" s="12" t="s">
        <v>17</v>
      </c>
      <c r="E78" s="12" t="s">
        <v>6</v>
      </c>
      <c r="F78" s="13" t="s">
        <v>18</v>
      </c>
      <c r="G78" s="13" t="s">
        <v>19</v>
      </c>
      <c r="H78" s="12" t="s">
        <v>20</v>
      </c>
      <c r="I78" s="12" t="s">
        <v>21</v>
      </c>
      <c r="J78" s="12" t="s">
        <v>22</v>
      </c>
      <c r="K78" s="12" t="s">
        <v>17</v>
      </c>
      <c r="L78" s="12" t="s">
        <v>6</v>
      </c>
      <c r="M78" s="13" t="s">
        <v>18</v>
      </c>
      <c r="N78" s="13" t="s">
        <v>19</v>
      </c>
      <c r="O78" s="12" t="s">
        <v>20</v>
      </c>
      <c r="P78" s="12" t="s">
        <v>21</v>
      </c>
      <c r="Q78" s="12" t="s">
        <v>22</v>
      </c>
      <c r="R78" s="12" t="s">
        <v>17</v>
      </c>
      <c r="S78" s="12" t="s">
        <v>6</v>
      </c>
      <c r="T78" s="13" t="s">
        <v>18</v>
      </c>
      <c r="U78" s="13" t="s">
        <v>19</v>
      </c>
      <c r="V78" s="12" t="s">
        <v>20</v>
      </c>
      <c r="W78" s="12" t="s">
        <v>21</v>
      </c>
      <c r="X78" s="12" t="s">
        <v>22</v>
      </c>
      <c r="Y78" s="12" t="s">
        <v>17</v>
      </c>
      <c r="Z78" s="12" t="s">
        <v>6</v>
      </c>
      <c r="AA78" s="13" t="s">
        <v>18</v>
      </c>
      <c r="AB78" s="13" t="s">
        <v>19</v>
      </c>
      <c r="AC78" s="12" t="s">
        <v>20</v>
      </c>
      <c r="AD78" s="12" t="s">
        <v>21</v>
      </c>
      <c r="AE78" s="12" t="s">
        <v>22</v>
      </c>
      <c r="AF78" s="14" t="s">
        <v>17</v>
      </c>
    </row>
    <row r="79" spans="2:36" x14ac:dyDescent="0.25">
      <c r="B79" s="137"/>
      <c r="C79" s="15">
        <v>1</v>
      </c>
      <c r="D79" s="15">
        <v>2</v>
      </c>
      <c r="E79" s="15">
        <v>3</v>
      </c>
      <c r="F79" s="16">
        <v>4</v>
      </c>
      <c r="G79" s="16">
        <v>5</v>
      </c>
      <c r="H79" s="15">
        <v>6</v>
      </c>
      <c r="I79" s="15">
        <v>7</v>
      </c>
      <c r="J79" s="15">
        <v>8</v>
      </c>
      <c r="K79" s="15">
        <v>9</v>
      </c>
      <c r="L79" s="15">
        <v>10</v>
      </c>
      <c r="M79" s="16">
        <v>11</v>
      </c>
      <c r="N79" s="16">
        <v>12</v>
      </c>
      <c r="O79" s="15">
        <v>13</v>
      </c>
      <c r="P79" s="15">
        <v>14</v>
      </c>
      <c r="Q79" s="15">
        <v>15</v>
      </c>
      <c r="R79" s="15">
        <v>16</v>
      </c>
      <c r="S79" s="15">
        <v>17</v>
      </c>
      <c r="T79" s="16">
        <v>18</v>
      </c>
      <c r="U79" s="16">
        <v>19</v>
      </c>
      <c r="V79" s="15">
        <v>20</v>
      </c>
      <c r="W79" s="15">
        <v>21</v>
      </c>
      <c r="X79" s="15">
        <v>22</v>
      </c>
      <c r="Y79" s="15">
        <v>23</v>
      </c>
      <c r="Z79" s="15">
        <v>24</v>
      </c>
      <c r="AA79" s="16">
        <v>25</v>
      </c>
      <c r="AB79" s="16">
        <v>26</v>
      </c>
      <c r="AC79" s="15">
        <v>27</v>
      </c>
      <c r="AD79" s="15">
        <v>28</v>
      </c>
      <c r="AE79" s="15">
        <v>29</v>
      </c>
      <c r="AF79" s="17">
        <v>30</v>
      </c>
    </row>
    <row r="80" spans="2:36" x14ac:dyDescent="0.25">
      <c r="B80" s="18" t="s">
        <v>25</v>
      </c>
      <c r="C80" s="21"/>
      <c r="D80" s="21"/>
      <c r="E80" s="21"/>
      <c r="F80" s="43"/>
      <c r="G80" s="43"/>
      <c r="H80" s="19" t="s">
        <v>2</v>
      </c>
      <c r="I80" s="19" t="s">
        <v>2</v>
      </c>
      <c r="J80" s="19" t="s">
        <v>2</v>
      </c>
      <c r="K80" s="19" t="s">
        <v>2</v>
      </c>
      <c r="L80" s="19" t="s">
        <v>2</v>
      </c>
      <c r="M80" s="20" t="s">
        <v>2</v>
      </c>
      <c r="N80" s="20" t="s">
        <v>2</v>
      </c>
      <c r="O80" s="21"/>
      <c r="P80" s="21"/>
      <c r="Q80" s="21"/>
      <c r="R80" s="21"/>
      <c r="S80" s="21"/>
      <c r="T80" s="43"/>
      <c r="U80" s="43"/>
      <c r="V80" s="19" t="s">
        <v>2</v>
      </c>
      <c r="W80" s="19" t="s">
        <v>2</v>
      </c>
      <c r="X80" s="19" t="s">
        <v>2</v>
      </c>
      <c r="Y80" s="19" t="s">
        <v>2</v>
      </c>
      <c r="Z80" s="19" t="s">
        <v>2</v>
      </c>
      <c r="AA80" s="20" t="s">
        <v>2</v>
      </c>
      <c r="AB80" s="20" t="s">
        <v>2</v>
      </c>
      <c r="AC80" s="21"/>
      <c r="AD80" s="21"/>
      <c r="AE80" s="21"/>
      <c r="AF80" s="22"/>
    </row>
    <row r="81" spans="2:36" x14ac:dyDescent="0.25">
      <c r="B81" s="23" t="s">
        <v>26</v>
      </c>
      <c r="C81" s="24"/>
      <c r="D81" s="24"/>
      <c r="E81" s="24"/>
      <c r="F81" s="25"/>
      <c r="G81" s="25"/>
      <c r="H81" s="26" t="s">
        <v>2</v>
      </c>
      <c r="I81" s="26" t="s">
        <v>2</v>
      </c>
      <c r="J81" s="26" t="s">
        <v>2</v>
      </c>
      <c r="K81" s="26" t="s">
        <v>2</v>
      </c>
      <c r="L81" s="26" t="s">
        <v>2</v>
      </c>
      <c r="M81" s="27" t="s">
        <v>2</v>
      </c>
      <c r="N81" s="27" t="s">
        <v>2</v>
      </c>
      <c r="O81" s="24"/>
      <c r="P81" s="24"/>
      <c r="Q81" s="24"/>
      <c r="R81" s="24"/>
      <c r="S81" s="24"/>
      <c r="T81" s="25"/>
      <c r="U81" s="25"/>
      <c r="V81" s="24"/>
      <c r="W81" s="24"/>
      <c r="X81" s="24"/>
      <c r="Y81" s="24"/>
      <c r="Z81" s="24"/>
      <c r="AA81" s="25"/>
      <c r="AB81" s="25"/>
      <c r="AC81" s="26" t="s">
        <v>2</v>
      </c>
      <c r="AD81" s="26" t="s">
        <v>2</v>
      </c>
      <c r="AE81" s="26" t="s">
        <v>2</v>
      </c>
      <c r="AF81" s="28" t="s">
        <v>2</v>
      </c>
    </row>
    <row r="82" spans="2:36" x14ac:dyDescent="0.25">
      <c r="B82" s="23" t="s">
        <v>27</v>
      </c>
      <c r="C82" s="24"/>
      <c r="D82" s="24"/>
      <c r="E82" s="24"/>
      <c r="F82" s="25"/>
      <c r="G82" s="25"/>
      <c r="H82" s="24"/>
      <c r="I82" s="24"/>
      <c r="J82" s="24"/>
      <c r="K82" s="24"/>
      <c r="L82" s="24"/>
      <c r="M82" s="25"/>
      <c r="N82" s="25"/>
      <c r="O82" s="26" t="s">
        <v>2</v>
      </c>
      <c r="P82" s="26" t="s">
        <v>2</v>
      </c>
      <c r="Q82" s="26" t="s">
        <v>2</v>
      </c>
      <c r="R82" s="26" t="s">
        <v>2</v>
      </c>
      <c r="S82" s="26" t="s">
        <v>2</v>
      </c>
      <c r="T82" s="27" t="s">
        <v>2</v>
      </c>
      <c r="U82" s="27" t="s">
        <v>2</v>
      </c>
      <c r="V82" s="24"/>
      <c r="W82" s="24"/>
      <c r="X82" s="24"/>
      <c r="Y82" s="24"/>
      <c r="Z82" s="24"/>
      <c r="AA82" s="25"/>
      <c r="AB82" s="25"/>
      <c r="AC82" s="26" t="s">
        <v>2</v>
      </c>
      <c r="AD82" s="26" t="s">
        <v>2</v>
      </c>
      <c r="AE82" s="26" t="s">
        <v>2</v>
      </c>
      <c r="AF82" s="28" t="s">
        <v>2</v>
      </c>
    </row>
    <row r="83" spans="2:36" x14ac:dyDescent="0.25">
      <c r="B83" s="23" t="s">
        <v>28</v>
      </c>
      <c r="C83" s="26" t="s">
        <v>2</v>
      </c>
      <c r="D83" s="26" t="s">
        <v>2</v>
      </c>
      <c r="E83" s="26" t="s">
        <v>2</v>
      </c>
      <c r="F83" s="27" t="s">
        <v>2</v>
      </c>
      <c r="G83" s="27" t="s">
        <v>2</v>
      </c>
      <c r="H83" s="24"/>
      <c r="I83" s="24"/>
      <c r="J83" s="24"/>
      <c r="K83" s="24"/>
      <c r="L83" s="24"/>
      <c r="M83" s="25"/>
      <c r="N83" s="25"/>
      <c r="O83" s="26" t="s">
        <v>2</v>
      </c>
      <c r="P83" s="26" t="s">
        <v>2</v>
      </c>
      <c r="Q83" s="26" t="s">
        <v>2</v>
      </c>
      <c r="R83" s="26" t="s">
        <v>2</v>
      </c>
      <c r="S83" s="26" t="s">
        <v>2</v>
      </c>
      <c r="T83" s="27" t="s">
        <v>2</v>
      </c>
      <c r="U83" s="27" t="s">
        <v>2</v>
      </c>
      <c r="V83" s="24"/>
      <c r="W83" s="24"/>
      <c r="X83" s="24"/>
      <c r="Y83" s="24"/>
      <c r="Z83" s="24"/>
      <c r="AA83" s="25"/>
      <c r="AB83" s="25"/>
      <c r="AC83" s="24"/>
      <c r="AD83" s="24"/>
      <c r="AE83" s="24"/>
      <c r="AF83" s="30"/>
    </row>
    <row r="84" spans="2:36" x14ac:dyDescent="0.25">
      <c r="B84" s="31" t="s">
        <v>29</v>
      </c>
      <c r="C84" s="34" t="s">
        <v>2</v>
      </c>
      <c r="D84" s="34" t="s">
        <v>2</v>
      </c>
      <c r="E84" s="34" t="s">
        <v>2</v>
      </c>
      <c r="F84" s="35" t="s">
        <v>2</v>
      </c>
      <c r="G84" s="35" t="s">
        <v>2</v>
      </c>
      <c r="H84" s="32"/>
      <c r="I84" s="32"/>
      <c r="J84" s="32"/>
      <c r="K84" s="32"/>
      <c r="L84" s="32"/>
      <c r="M84" s="33"/>
      <c r="N84" s="33"/>
      <c r="O84" s="32"/>
      <c r="P84" s="32"/>
      <c r="Q84" s="32"/>
      <c r="R84" s="32"/>
      <c r="S84" s="32"/>
      <c r="T84" s="33"/>
      <c r="U84" s="33"/>
      <c r="V84" s="34" t="s">
        <v>2</v>
      </c>
      <c r="W84" s="34" t="s">
        <v>2</v>
      </c>
      <c r="X84" s="34" t="s">
        <v>2</v>
      </c>
      <c r="Y84" s="34" t="s">
        <v>2</v>
      </c>
      <c r="Z84" s="34" t="s">
        <v>2</v>
      </c>
      <c r="AA84" s="35" t="s">
        <v>2</v>
      </c>
      <c r="AB84" s="35" t="s">
        <v>2</v>
      </c>
      <c r="AC84" s="32"/>
      <c r="AD84" s="32"/>
      <c r="AE84" s="32"/>
      <c r="AF84" s="36"/>
    </row>
    <row r="86" spans="2:36" ht="21" customHeight="1" x14ac:dyDescent="0.25">
      <c r="B86" s="11"/>
      <c r="C86" s="138" t="s">
        <v>72</v>
      </c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I86" s="2" t="s">
        <v>15</v>
      </c>
    </row>
    <row r="87" spans="2:36" x14ac:dyDescent="0.25">
      <c r="B87" s="137" t="s">
        <v>16</v>
      </c>
      <c r="C87" s="12" t="s">
        <v>6</v>
      </c>
      <c r="D87" s="13" t="s">
        <v>18</v>
      </c>
      <c r="E87" s="13" t="s">
        <v>19</v>
      </c>
      <c r="F87" s="12" t="s">
        <v>20</v>
      </c>
      <c r="G87" s="12" t="s">
        <v>21</v>
      </c>
      <c r="H87" s="12" t="s">
        <v>22</v>
      </c>
      <c r="I87" s="12" t="s">
        <v>17</v>
      </c>
      <c r="J87" s="12" t="s">
        <v>6</v>
      </c>
      <c r="K87" s="13" t="s">
        <v>18</v>
      </c>
      <c r="L87" s="13" t="s">
        <v>19</v>
      </c>
      <c r="M87" s="12" t="s">
        <v>20</v>
      </c>
      <c r="N87" s="37" t="s">
        <v>21</v>
      </c>
      <c r="O87" s="12" t="s">
        <v>22</v>
      </c>
      <c r="P87" s="12" t="s">
        <v>17</v>
      </c>
      <c r="Q87" s="12" t="s">
        <v>6</v>
      </c>
      <c r="R87" s="13" t="s">
        <v>18</v>
      </c>
      <c r="S87" s="13" t="s">
        <v>19</v>
      </c>
      <c r="T87" s="12" t="s">
        <v>20</v>
      </c>
      <c r="U87" s="12" t="s">
        <v>21</v>
      </c>
      <c r="V87" s="12" t="s">
        <v>22</v>
      </c>
      <c r="W87" s="12" t="s">
        <v>17</v>
      </c>
      <c r="X87" s="12" t="s">
        <v>6</v>
      </c>
      <c r="Y87" s="13" t="s">
        <v>18</v>
      </c>
      <c r="Z87" s="13" t="s">
        <v>19</v>
      </c>
      <c r="AA87" s="12" t="s">
        <v>20</v>
      </c>
      <c r="AB87" s="12" t="s">
        <v>21</v>
      </c>
      <c r="AC87" s="12" t="s">
        <v>22</v>
      </c>
      <c r="AD87" s="12" t="s">
        <v>17</v>
      </c>
      <c r="AE87" s="12" t="s">
        <v>6</v>
      </c>
      <c r="AF87" s="13" t="s">
        <v>18</v>
      </c>
      <c r="AG87" s="38" t="s">
        <v>19</v>
      </c>
      <c r="AI87" s="39" t="s">
        <v>23</v>
      </c>
      <c r="AJ87" s="40" t="s">
        <v>24</v>
      </c>
    </row>
    <row r="88" spans="2:36" x14ac:dyDescent="0.25">
      <c r="B88" s="137"/>
      <c r="C88" s="15">
        <v>1</v>
      </c>
      <c r="D88" s="16">
        <v>2</v>
      </c>
      <c r="E88" s="16">
        <v>3</v>
      </c>
      <c r="F88" s="15">
        <v>4</v>
      </c>
      <c r="G88" s="15">
        <v>5</v>
      </c>
      <c r="H88" s="15">
        <v>6</v>
      </c>
      <c r="I88" s="15">
        <v>7</v>
      </c>
      <c r="J88" s="15">
        <v>8</v>
      </c>
      <c r="K88" s="16">
        <v>9</v>
      </c>
      <c r="L88" s="16">
        <v>10</v>
      </c>
      <c r="M88" s="15">
        <v>11</v>
      </c>
      <c r="N88" s="41">
        <v>12</v>
      </c>
      <c r="O88" s="15">
        <v>13</v>
      </c>
      <c r="P88" s="15">
        <v>14</v>
      </c>
      <c r="Q88" s="15">
        <v>15</v>
      </c>
      <c r="R88" s="16">
        <v>16</v>
      </c>
      <c r="S88" s="16">
        <v>17</v>
      </c>
      <c r="T88" s="15">
        <v>18</v>
      </c>
      <c r="U88" s="15">
        <v>19</v>
      </c>
      <c r="V88" s="15">
        <v>20</v>
      </c>
      <c r="W88" s="15">
        <v>21</v>
      </c>
      <c r="X88" s="15">
        <v>22</v>
      </c>
      <c r="Y88" s="16">
        <v>23</v>
      </c>
      <c r="Z88" s="16">
        <v>24</v>
      </c>
      <c r="AA88" s="15">
        <v>25</v>
      </c>
      <c r="AB88" s="15">
        <v>26</v>
      </c>
      <c r="AC88" s="15">
        <v>27</v>
      </c>
      <c r="AD88" s="15">
        <v>28</v>
      </c>
      <c r="AE88" s="15">
        <v>29</v>
      </c>
      <c r="AF88" s="16">
        <v>30</v>
      </c>
      <c r="AG88" s="42">
        <v>31</v>
      </c>
    </row>
    <row r="89" spans="2:36" x14ac:dyDescent="0.25">
      <c r="B89" s="18" t="s">
        <v>25</v>
      </c>
      <c r="C89" s="21"/>
      <c r="D89" s="43"/>
      <c r="E89" s="43"/>
      <c r="F89" s="21"/>
      <c r="G89" s="21"/>
      <c r="H89" s="21"/>
      <c r="I89" s="21"/>
      <c r="J89" s="21"/>
      <c r="K89" s="43"/>
      <c r="L89" s="43"/>
      <c r="M89" s="19" t="s">
        <v>2</v>
      </c>
      <c r="N89" s="44" t="s">
        <v>2</v>
      </c>
      <c r="O89" s="19" t="s">
        <v>2</v>
      </c>
      <c r="P89" s="19" t="s">
        <v>2</v>
      </c>
      <c r="Q89" s="19" t="s">
        <v>2</v>
      </c>
      <c r="R89" s="20" t="s">
        <v>2</v>
      </c>
      <c r="S89" s="20" t="s">
        <v>2</v>
      </c>
      <c r="T89" s="21"/>
      <c r="U89" s="21"/>
      <c r="V89" s="21"/>
      <c r="W89" s="21"/>
      <c r="X89" s="21"/>
      <c r="Y89" s="43"/>
      <c r="Z89" s="43"/>
      <c r="AA89" s="19" t="s">
        <v>2</v>
      </c>
      <c r="AB89" s="19" t="s">
        <v>2</v>
      </c>
      <c r="AC89" s="19" t="s">
        <v>2</v>
      </c>
      <c r="AD89" s="19" t="s">
        <v>2</v>
      </c>
      <c r="AE89" s="19" t="s">
        <v>2</v>
      </c>
      <c r="AF89" s="20" t="s">
        <v>2</v>
      </c>
      <c r="AG89" s="45" t="s">
        <v>2</v>
      </c>
    </row>
    <row r="90" spans="2:36" x14ac:dyDescent="0.25">
      <c r="B90" s="23" t="s">
        <v>26</v>
      </c>
      <c r="C90" s="26" t="s">
        <v>2</v>
      </c>
      <c r="D90" s="27" t="s">
        <v>2</v>
      </c>
      <c r="E90" s="27" t="s">
        <v>2</v>
      </c>
      <c r="F90" s="24"/>
      <c r="G90" s="24"/>
      <c r="H90" s="24"/>
      <c r="I90" s="24"/>
      <c r="J90" s="24"/>
      <c r="K90" s="25"/>
      <c r="L90" s="25"/>
      <c r="M90" s="26" t="s">
        <v>2</v>
      </c>
      <c r="N90" s="67" t="s">
        <v>2</v>
      </c>
      <c r="O90" s="26" t="s">
        <v>2</v>
      </c>
      <c r="P90" s="26" t="s">
        <v>2</v>
      </c>
      <c r="Q90" s="26" t="s">
        <v>2</v>
      </c>
      <c r="R90" s="27" t="s">
        <v>2</v>
      </c>
      <c r="S90" s="27" t="s">
        <v>2</v>
      </c>
      <c r="T90" s="24"/>
      <c r="U90" s="24"/>
      <c r="V90" s="24"/>
      <c r="W90" s="24"/>
      <c r="X90" s="24"/>
      <c r="Y90" s="25"/>
      <c r="Z90" s="25"/>
      <c r="AA90" s="24"/>
      <c r="AB90" s="24"/>
      <c r="AC90" s="24"/>
      <c r="AD90" s="24"/>
      <c r="AE90" s="24"/>
      <c r="AF90" s="25"/>
      <c r="AG90" s="48"/>
    </row>
    <row r="91" spans="2:36" x14ac:dyDescent="0.25">
      <c r="B91" s="23" t="s">
        <v>27</v>
      </c>
      <c r="C91" s="26" t="s">
        <v>2</v>
      </c>
      <c r="D91" s="27" t="s">
        <v>2</v>
      </c>
      <c r="E91" s="27" t="s">
        <v>2</v>
      </c>
      <c r="F91" s="24"/>
      <c r="G91" s="24"/>
      <c r="H91" s="24"/>
      <c r="I91" s="24"/>
      <c r="J91" s="24"/>
      <c r="K91" s="25"/>
      <c r="L91" s="25"/>
      <c r="M91" s="24"/>
      <c r="N91" s="46" t="s">
        <v>4</v>
      </c>
      <c r="O91" s="24"/>
      <c r="P91" s="24"/>
      <c r="Q91" s="24"/>
      <c r="R91" s="25"/>
      <c r="S91" s="25"/>
      <c r="T91" s="26" t="s">
        <v>2</v>
      </c>
      <c r="U91" s="26" t="s">
        <v>2</v>
      </c>
      <c r="V91" s="26" t="s">
        <v>2</v>
      </c>
      <c r="W91" s="26" t="s">
        <v>2</v>
      </c>
      <c r="X91" s="26" t="s">
        <v>2</v>
      </c>
      <c r="Y91" s="27" t="s">
        <v>2</v>
      </c>
      <c r="Z91" s="27" t="s">
        <v>2</v>
      </c>
      <c r="AA91" s="24"/>
      <c r="AB91" s="24"/>
      <c r="AC91" s="24"/>
      <c r="AD91" s="24"/>
      <c r="AE91" s="24"/>
      <c r="AF91" s="25"/>
      <c r="AG91" s="48"/>
    </row>
    <row r="92" spans="2:36" x14ac:dyDescent="0.25">
      <c r="B92" s="23" t="s">
        <v>28</v>
      </c>
      <c r="C92" s="24"/>
      <c r="D92" s="25"/>
      <c r="E92" s="25"/>
      <c r="F92" s="26" t="s">
        <v>2</v>
      </c>
      <c r="G92" s="26" t="s">
        <v>2</v>
      </c>
      <c r="H92" s="26" t="s">
        <v>2</v>
      </c>
      <c r="I92" s="26" t="s">
        <v>2</v>
      </c>
      <c r="J92" s="26" t="s">
        <v>2</v>
      </c>
      <c r="K92" s="27" t="s">
        <v>2</v>
      </c>
      <c r="L92" s="27" t="s">
        <v>2</v>
      </c>
      <c r="M92" s="24"/>
      <c r="N92" s="46" t="s">
        <v>4</v>
      </c>
      <c r="O92" s="24"/>
      <c r="P92" s="24"/>
      <c r="Q92" s="24"/>
      <c r="R92" s="25"/>
      <c r="S92" s="25"/>
      <c r="T92" s="26" t="s">
        <v>2</v>
      </c>
      <c r="U92" s="26" t="s">
        <v>2</v>
      </c>
      <c r="V92" s="26" t="s">
        <v>2</v>
      </c>
      <c r="W92" s="26" t="s">
        <v>2</v>
      </c>
      <c r="X92" s="26" t="s">
        <v>2</v>
      </c>
      <c r="Y92" s="27" t="s">
        <v>2</v>
      </c>
      <c r="Z92" s="27" t="s">
        <v>2</v>
      </c>
      <c r="AA92" s="24"/>
      <c r="AB92" s="24"/>
      <c r="AC92" s="24"/>
      <c r="AD92" s="24"/>
      <c r="AE92" s="24"/>
      <c r="AF92" s="25"/>
      <c r="AG92" s="48"/>
    </row>
    <row r="93" spans="2:36" x14ac:dyDescent="0.25">
      <c r="B93" s="31" t="s">
        <v>29</v>
      </c>
      <c r="C93" s="32"/>
      <c r="D93" s="33"/>
      <c r="E93" s="33"/>
      <c r="F93" s="34" t="s">
        <v>2</v>
      </c>
      <c r="G93" s="34" t="s">
        <v>2</v>
      </c>
      <c r="H93" s="34" t="s">
        <v>2</v>
      </c>
      <c r="I93" s="34" t="s">
        <v>2</v>
      </c>
      <c r="J93" s="34" t="s">
        <v>2</v>
      </c>
      <c r="K93" s="35" t="s">
        <v>2</v>
      </c>
      <c r="L93" s="35" t="s">
        <v>2</v>
      </c>
      <c r="M93" s="32"/>
      <c r="N93" s="75" t="s">
        <v>4</v>
      </c>
      <c r="O93" s="32"/>
      <c r="P93" s="32"/>
      <c r="Q93" s="32"/>
      <c r="R93" s="33"/>
      <c r="S93" s="33"/>
      <c r="T93" s="32"/>
      <c r="U93" s="32"/>
      <c r="V93" s="32"/>
      <c r="W93" s="32"/>
      <c r="X93" s="32"/>
      <c r="Y93" s="33"/>
      <c r="Z93" s="33"/>
      <c r="AA93" s="34" t="s">
        <v>2</v>
      </c>
      <c r="AB93" s="34" t="s">
        <v>2</v>
      </c>
      <c r="AC93" s="34" t="s">
        <v>2</v>
      </c>
      <c r="AD93" s="34" t="s">
        <v>2</v>
      </c>
      <c r="AE93" s="34" t="s">
        <v>2</v>
      </c>
      <c r="AF93" s="35" t="s">
        <v>2</v>
      </c>
      <c r="AG93" s="76" t="s">
        <v>2</v>
      </c>
    </row>
    <row r="95" spans="2:36" ht="21" customHeight="1" x14ac:dyDescent="0.25">
      <c r="B95" s="11"/>
      <c r="C95" s="138" t="s">
        <v>73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I95" s="2" t="s">
        <v>15</v>
      </c>
    </row>
    <row r="96" spans="2:36" x14ac:dyDescent="0.25">
      <c r="B96" s="137" t="s">
        <v>16</v>
      </c>
      <c r="C96" s="37" t="s">
        <v>20</v>
      </c>
      <c r="D96" s="12" t="s">
        <v>21</v>
      </c>
      <c r="E96" s="12" t="s">
        <v>22</v>
      </c>
      <c r="F96" s="12" t="s">
        <v>17</v>
      </c>
      <c r="G96" s="12" t="s">
        <v>6</v>
      </c>
      <c r="H96" s="13" t="s">
        <v>18</v>
      </c>
      <c r="I96" s="13" t="s">
        <v>19</v>
      </c>
      <c r="J96" s="12" t="s">
        <v>20</v>
      </c>
      <c r="K96" s="12" t="s">
        <v>21</v>
      </c>
      <c r="L96" s="12" t="s">
        <v>22</v>
      </c>
      <c r="M96" s="12" t="s">
        <v>17</v>
      </c>
      <c r="N96" s="12" t="s">
        <v>6</v>
      </c>
      <c r="O96" s="13" t="s">
        <v>18</v>
      </c>
      <c r="P96" s="13" t="s">
        <v>19</v>
      </c>
      <c r="Q96" s="12" t="s">
        <v>20</v>
      </c>
      <c r="R96" s="12" t="s">
        <v>21</v>
      </c>
      <c r="S96" s="12" t="s">
        <v>22</v>
      </c>
      <c r="T96" s="12" t="s">
        <v>17</v>
      </c>
      <c r="U96" s="12" t="s">
        <v>6</v>
      </c>
      <c r="V96" s="13" t="s">
        <v>18</v>
      </c>
      <c r="W96" s="13" t="s">
        <v>19</v>
      </c>
      <c r="X96" s="12" t="s">
        <v>20</v>
      </c>
      <c r="Y96" s="12" t="s">
        <v>21</v>
      </c>
      <c r="Z96" s="12" t="s">
        <v>22</v>
      </c>
      <c r="AA96" s="12" t="s">
        <v>17</v>
      </c>
      <c r="AB96" s="12" t="s">
        <v>6</v>
      </c>
      <c r="AC96" s="13" t="s">
        <v>18</v>
      </c>
      <c r="AD96" s="13" t="s">
        <v>19</v>
      </c>
      <c r="AE96" s="12" t="s">
        <v>20</v>
      </c>
      <c r="AF96" s="14" t="s">
        <v>21</v>
      </c>
      <c r="AI96" s="39" t="s">
        <v>74</v>
      </c>
      <c r="AJ96" s="40" t="s">
        <v>75</v>
      </c>
    </row>
    <row r="97" spans="2:36" x14ac:dyDescent="0.25">
      <c r="B97" s="137"/>
      <c r="C97" s="41">
        <v>1</v>
      </c>
      <c r="D97" s="15">
        <v>2</v>
      </c>
      <c r="E97" s="15">
        <v>3</v>
      </c>
      <c r="F97" s="15">
        <v>4</v>
      </c>
      <c r="G97" s="15">
        <v>5</v>
      </c>
      <c r="H97" s="16">
        <v>6</v>
      </c>
      <c r="I97" s="16">
        <v>7</v>
      </c>
      <c r="J97" s="15">
        <v>8</v>
      </c>
      <c r="K97" s="15">
        <v>9</v>
      </c>
      <c r="L97" s="15">
        <v>10</v>
      </c>
      <c r="M97" s="15">
        <v>11</v>
      </c>
      <c r="N97" s="15">
        <v>12</v>
      </c>
      <c r="O97" s="16">
        <v>13</v>
      </c>
      <c r="P97" s="16">
        <v>14</v>
      </c>
      <c r="Q97" s="15">
        <v>15</v>
      </c>
      <c r="R97" s="15">
        <v>16</v>
      </c>
      <c r="S97" s="15">
        <v>17</v>
      </c>
      <c r="T97" s="15">
        <v>18</v>
      </c>
      <c r="U97" s="15">
        <v>19</v>
      </c>
      <c r="V97" s="16">
        <v>20</v>
      </c>
      <c r="W97" s="16">
        <v>21</v>
      </c>
      <c r="X97" s="15">
        <v>22</v>
      </c>
      <c r="Y97" s="15">
        <v>23</v>
      </c>
      <c r="Z97" s="15">
        <v>24</v>
      </c>
      <c r="AA97" s="15">
        <v>25</v>
      </c>
      <c r="AB97" s="15">
        <v>26</v>
      </c>
      <c r="AC97" s="16">
        <v>27</v>
      </c>
      <c r="AD97" s="16">
        <v>28</v>
      </c>
      <c r="AE97" s="15">
        <v>29</v>
      </c>
      <c r="AF97" s="17">
        <v>30</v>
      </c>
    </row>
    <row r="98" spans="2:36" x14ac:dyDescent="0.25">
      <c r="B98" s="18" t="s">
        <v>25</v>
      </c>
      <c r="C98" s="62" t="s">
        <v>4</v>
      </c>
      <c r="D98" s="21"/>
      <c r="E98" s="21"/>
      <c r="F98" s="21"/>
      <c r="G98" s="21"/>
      <c r="H98" s="43"/>
      <c r="I98" s="43"/>
      <c r="J98" s="19" t="s">
        <v>2</v>
      </c>
      <c r="K98" s="19" t="s">
        <v>2</v>
      </c>
      <c r="L98" s="19" t="s">
        <v>2</v>
      </c>
      <c r="M98" s="19" t="s">
        <v>2</v>
      </c>
      <c r="N98" s="19" t="s">
        <v>2</v>
      </c>
      <c r="O98" s="20" t="s">
        <v>2</v>
      </c>
      <c r="P98" s="20" t="s">
        <v>2</v>
      </c>
      <c r="Q98" s="21"/>
      <c r="R98" s="21"/>
      <c r="S98" s="21"/>
      <c r="T98" s="21"/>
      <c r="U98" s="21"/>
      <c r="V98" s="43"/>
      <c r="W98" s="43"/>
      <c r="X98" s="21"/>
      <c r="Y98" s="21"/>
      <c r="Z98" s="21"/>
      <c r="AA98" s="21"/>
      <c r="AB98" s="21"/>
      <c r="AC98" s="43"/>
      <c r="AD98" s="43"/>
      <c r="AE98" s="19" t="s">
        <v>2</v>
      </c>
      <c r="AF98" s="88" t="s">
        <v>2</v>
      </c>
    </row>
    <row r="99" spans="2:36" x14ac:dyDescent="0.25">
      <c r="B99" s="23" t="s">
        <v>26</v>
      </c>
      <c r="C99" s="67" t="s">
        <v>2</v>
      </c>
      <c r="D99" s="26" t="s">
        <v>2</v>
      </c>
      <c r="E99" s="26" t="s">
        <v>2</v>
      </c>
      <c r="F99" s="26" t="s">
        <v>2</v>
      </c>
      <c r="G99" s="26" t="s">
        <v>2</v>
      </c>
      <c r="H99" s="27" t="s">
        <v>2</v>
      </c>
      <c r="I99" s="27" t="s">
        <v>2</v>
      </c>
      <c r="J99" s="24"/>
      <c r="K99" s="24"/>
      <c r="L99" s="24"/>
      <c r="M99" s="24"/>
      <c r="N99" s="24"/>
      <c r="O99" s="25"/>
      <c r="P99" s="25"/>
      <c r="Q99" s="24"/>
      <c r="R99" s="24"/>
      <c r="S99" s="24"/>
      <c r="T99" s="24"/>
      <c r="U99" s="24"/>
      <c r="V99" s="25"/>
      <c r="W99" s="25"/>
      <c r="X99" s="26" t="s">
        <v>2</v>
      </c>
      <c r="Y99" s="26" t="s">
        <v>2</v>
      </c>
      <c r="Z99" s="26" t="s">
        <v>2</v>
      </c>
      <c r="AA99" s="26" t="s">
        <v>2</v>
      </c>
      <c r="AB99" s="26" t="s">
        <v>2</v>
      </c>
      <c r="AC99" s="27" t="s">
        <v>2</v>
      </c>
      <c r="AD99" s="27" t="s">
        <v>2</v>
      </c>
      <c r="AE99" s="24"/>
      <c r="AF99" s="30"/>
    </row>
    <row r="100" spans="2:36" x14ac:dyDescent="0.25">
      <c r="B100" s="23" t="s">
        <v>27</v>
      </c>
      <c r="C100" s="67" t="s">
        <v>2</v>
      </c>
      <c r="D100" s="26" t="s">
        <v>2</v>
      </c>
      <c r="E100" s="26" t="s">
        <v>2</v>
      </c>
      <c r="F100" s="26" t="s">
        <v>2</v>
      </c>
      <c r="G100" s="26" t="s">
        <v>2</v>
      </c>
      <c r="H100" s="27" t="s">
        <v>2</v>
      </c>
      <c r="I100" s="27" t="s">
        <v>2</v>
      </c>
      <c r="J100" s="24"/>
      <c r="K100" s="24"/>
      <c r="L100" s="24"/>
      <c r="M100" s="24"/>
      <c r="N100" s="24"/>
      <c r="O100" s="25"/>
      <c r="P100" s="25"/>
      <c r="Q100" s="26" t="s">
        <v>2</v>
      </c>
      <c r="R100" s="26" t="s">
        <v>2</v>
      </c>
      <c r="S100" s="26" t="s">
        <v>2</v>
      </c>
      <c r="T100" s="26" t="s">
        <v>2</v>
      </c>
      <c r="U100" s="26" t="s">
        <v>2</v>
      </c>
      <c r="V100" s="27" t="s">
        <v>2</v>
      </c>
      <c r="W100" s="27" t="s">
        <v>2</v>
      </c>
      <c r="X100" s="24"/>
      <c r="Y100" s="24"/>
      <c r="Z100" s="24"/>
      <c r="AA100" s="24"/>
      <c r="AB100" s="24"/>
      <c r="AC100" s="25"/>
      <c r="AD100" s="25"/>
      <c r="AE100" s="24"/>
      <c r="AF100" s="30"/>
    </row>
    <row r="101" spans="2:36" x14ac:dyDescent="0.25">
      <c r="B101" s="23" t="s">
        <v>28</v>
      </c>
      <c r="C101" s="46" t="s">
        <v>4</v>
      </c>
      <c r="D101" s="24"/>
      <c r="E101" s="24"/>
      <c r="F101" s="24"/>
      <c r="G101" s="24"/>
      <c r="H101" s="25"/>
      <c r="I101" s="25"/>
      <c r="J101" s="26" t="s">
        <v>2</v>
      </c>
      <c r="K101" s="26" t="s">
        <v>2</v>
      </c>
      <c r="L101" s="26" t="s">
        <v>2</v>
      </c>
      <c r="M101" s="26" t="s">
        <v>2</v>
      </c>
      <c r="N101" s="26" t="s">
        <v>2</v>
      </c>
      <c r="O101" s="27" t="s">
        <v>2</v>
      </c>
      <c r="P101" s="27" t="s">
        <v>2</v>
      </c>
      <c r="Q101" s="24"/>
      <c r="R101" s="24"/>
      <c r="S101" s="24"/>
      <c r="T101" s="24"/>
      <c r="U101" s="24"/>
      <c r="V101" s="25"/>
      <c r="W101" s="25"/>
      <c r="X101" s="26" t="s">
        <v>2</v>
      </c>
      <c r="Y101" s="26" t="s">
        <v>2</v>
      </c>
      <c r="Z101" s="26" t="s">
        <v>2</v>
      </c>
      <c r="AA101" s="26" t="s">
        <v>2</v>
      </c>
      <c r="AB101" s="26" t="s">
        <v>2</v>
      </c>
      <c r="AC101" s="27" t="s">
        <v>2</v>
      </c>
      <c r="AD101" s="27" t="s">
        <v>2</v>
      </c>
      <c r="AE101" s="24"/>
      <c r="AF101" s="30"/>
    </row>
    <row r="102" spans="2:36" x14ac:dyDescent="0.25">
      <c r="B102" s="31" t="s">
        <v>29</v>
      </c>
      <c r="C102" s="75" t="s">
        <v>4</v>
      </c>
      <c r="D102" s="32"/>
      <c r="E102" s="32"/>
      <c r="F102" s="32"/>
      <c r="G102" s="32"/>
      <c r="H102" s="33"/>
      <c r="I102" s="33"/>
      <c r="J102" s="32"/>
      <c r="K102" s="32"/>
      <c r="L102" s="32"/>
      <c r="M102" s="32"/>
      <c r="N102" s="32"/>
      <c r="O102" s="33"/>
      <c r="P102" s="33"/>
      <c r="Q102" s="34" t="s">
        <v>2</v>
      </c>
      <c r="R102" s="34" t="s">
        <v>2</v>
      </c>
      <c r="S102" s="34" t="s">
        <v>2</v>
      </c>
      <c r="T102" s="34" t="s">
        <v>2</v>
      </c>
      <c r="U102" s="34" t="s">
        <v>2</v>
      </c>
      <c r="V102" s="35" t="s">
        <v>2</v>
      </c>
      <c r="W102" s="35" t="s">
        <v>2</v>
      </c>
      <c r="X102" s="32"/>
      <c r="Y102" s="32"/>
      <c r="Z102" s="32"/>
      <c r="AA102" s="32"/>
      <c r="AB102" s="32"/>
      <c r="AC102" s="33"/>
      <c r="AD102" s="33"/>
      <c r="AE102" s="34" t="s">
        <v>2</v>
      </c>
      <c r="AF102" s="86" t="s">
        <v>2</v>
      </c>
    </row>
    <row r="104" spans="2:36" ht="21" customHeight="1" x14ac:dyDescent="0.25">
      <c r="B104" s="11"/>
      <c r="C104" s="138" t="s">
        <v>76</v>
      </c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I104" s="2" t="s">
        <v>15</v>
      </c>
    </row>
    <row r="105" spans="2:36" x14ac:dyDescent="0.25">
      <c r="B105" s="137" t="s">
        <v>16</v>
      </c>
      <c r="C105" s="12" t="s">
        <v>22</v>
      </c>
      <c r="D105" s="12" t="s">
        <v>17</v>
      </c>
      <c r="E105" s="12" t="s">
        <v>6</v>
      </c>
      <c r="F105" s="13" t="s">
        <v>18</v>
      </c>
      <c r="G105" s="13" t="s">
        <v>19</v>
      </c>
      <c r="H105" s="37" t="s">
        <v>20</v>
      </c>
      <c r="I105" s="12" t="s">
        <v>21</v>
      </c>
      <c r="J105" s="37" t="s">
        <v>22</v>
      </c>
      <c r="K105" s="12" t="s">
        <v>17</v>
      </c>
      <c r="L105" s="12" t="s">
        <v>6</v>
      </c>
      <c r="M105" s="13" t="s">
        <v>18</v>
      </c>
      <c r="N105" s="13" t="s">
        <v>19</v>
      </c>
      <c r="O105" s="12" t="s">
        <v>20</v>
      </c>
      <c r="P105" s="12" t="s">
        <v>21</v>
      </c>
      <c r="Q105" s="12" t="s">
        <v>22</v>
      </c>
      <c r="R105" s="12" t="s">
        <v>17</v>
      </c>
      <c r="S105" s="12" t="s">
        <v>6</v>
      </c>
      <c r="T105" s="13" t="s">
        <v>18</v>
      </c>
      <c r="U105" s="13" t="s">
        <v>19</v>
      </c>
      <c r="V105" s="12" t="s">
        <v>20</v>
      </c>
      <c r="W105" s="12" t="s">
        <v>21</v>
      </c>
      <c r="X105" s="12" t="s">
        <v>22</v>
      </c>
      <c r="Y105" s="12" t="s">
        <v>17</v>
      </c>
      <c r="Z105" s="58" t="s">
        <v>6</v>
      </c>
      <c r="AA105" s="37" t="s">
        <v>18</v>
      </c>
      <c r="AB105" s="13" t="s">
        <v>19</v>
      </c>
      <c r="AC105" s="12" t="s">
        <v>20</v>
      </c>
      <c r="AD105" s="12" t="s">
        <v>21</v>
      </c>
      <c r="AE105" s="12" t="s">
        <v>22</v>
      </c>
      <c r="AF105" s="12" t="s">
        <v>17</v>
      </c>
      <c r="AG105" s="59" t="s">
        <v>6</v>
      </c>
      <c r="AI105" s="39" t="s">
        <v>77</v>
      </c>
      <c r="AJ105" s="40" t="s">
        <v>78</v>
      </c>
    </row>
    <row r="106" spans="2:36" x14ac:dyDescent="0.25">
      <c r="B106" s="137"/>
      <c r="C106" s="15">
        <v>1</v>
      </c>
      <c r="D106" s="15">
        <v>2</v>
      </c>
      <c r="E106" s="15">
        <v>3</v>
      </c>
      <c r="F106" s="16">
        <v>4</v>
      </c>
      <c r="G106" s="16">
        <v>5</v>
      </c>
      <c r="H106" s="41">
        <v>6</v>
      </c>
      <c r="I106" s="15">
        <v>7</v>
      </c>
      <c r="J106" s="41">
        <v>8</v>
      </c>
      <c r="K106" s="15">
        <v>9</v>
      </c>
      <c r="L106" s="15">
        <v>10</v>
      </c>
      <c r="M106" s="16">
        <v>11</v>
      </c>
      <c r="N106" s="16">
        <v>12</v>
      </c>
      <c r="O106" s="15">
        <v>13</v>
      </c>
      <c r="P106" s="15">
        <v>14</v>
      </c>
      <c r="Q106" s="15">
        <v>15</v>
      </c>
      <c r="R106" s="15">
        <v>16</v>
      </c>
      <c r="S106" s="15">
        <v>17</v>
      </c>
      <c r="T106" s="16">
        <v>18</v>
      </c>
      <c r="U106" s="16">
        <v>19</v>
      </c>
      <c r="V106" s="15">
        <v>20</v>
      </c>
      <c r="W106" s="15">
        <v>21</v>
      </c>
      <c r="X106" s="15">
        <v>22</v>
      </c>
      <c r="Y106" s="15">
        <v>23</v>
      </c>
      <c r="Z106" s="60">
        <v>24</v>
      </c>
      <c r="AA106" s="41">
        <v>25</v>
      </c>
      <c r="AB106" s="16">
        <v>26</v>
      </c>
      <c r="AC106" s="15">
        <v>27</v>
      </c>
      <c r="AD106" s="15">
        <v>28</v>
      </c>
      <c r="AE106" s="15">
        <v>29</v>
      </c>
      <c r="AF106" s="15">
        <v>30</v>
      </c>
      <c r="AG106" s="61">
        <v>31</v>
      </c>
      <c r="AI106" s="39" t="s">
        <v>36</v>
      </c>
      <c r="AJ106" s="40" t="s">
        <v>37</v>
      </c>
    </row>
    <row r="107" spans="2:36" x14ac:dyDescent="0.25">
      <c r="B107" s="18" t="s">
        <v>25</v>
      </c>
      <c r="C107" s="19" t="s">
        <v>2</v>
      </c>
      <c r="D107" s="19" t="s">
        <v>2</v>
      </c>
      <c r="E107" s="19" t="s">
        <v>2</v>
      </c>
      <c r="F107" s="20" t="s">
        <v>2</v>
      </c>
      <c r="G107" s="20" t="s">
        <v>2</v>
      </c>
      <c r="H107" s="62" t="s">
        <v>4</v>
      </c>
      <c r="I107" s="21"/>
      <c r="J107" s="62" t="s">
        <v>4</v>
      </c>
      <c r="K107" s="21"/>
      <c r="L107" s="21"/>
      <c r="M107" s="43"/>
      <c r="N107" s="43"/>
      <c r="O107" s="21"/>
      <c r="P107" s="21"/>
      <c r="Q107" s="21"/>
      <c r="R107" s="21"/>
      <c r="S107" s="21"/>
      <c r="T107" s="43"/>
      <c r="U107" s="43"/>
      <c r="V107" s="19" t="s">
        <v>2</v>
      </c>
      <c r="W107" s="19" t="s">
        <v>2</v>
      </c>
      <c r="X107" s="19" t="s">
        <v>2</v>
      </c>
      <c r="Y107" s="19" t="s">
        <v>2</v>
      </c>
      <c r="Z107" s="89" t="s">
        <v>2</v>
      </c>
      <c r="AA107" s="44" t="s">
        <v>2</v>
      </c>
      <c r="AB107" s="20" t="s">
        <v>2</v>
      </c>
      <c r="AC107" s="21"/>
      <c r="AD107" s="21"/>
      <c r="AE107" s="21"/>
      <c r="AF107" s="21"/>
      <c r="AG107" s="90"/>
      <c r="AI107" s="65" t="s">
        <v>38</v>
      </c>
      <c r="AJ107" s="40" t="s">
        <v>39</v>
      </c>
    </row>
    <row r="108" spans="2:36" x14ac:dyDescent="0.25">
      <c r="B108" s="23" t="s">
        <v>26</v>
      </c>
      <c r="C108" s="24"/>
      <c r="D108" s="24"/>
      <c r="E108" s="24"/>
      <c r="F108" s="25"/>
      <c r="G108" s="25"/>
      <c r="H108" s="46" t="s">
        <v>4</v>
      </c>
      <c r="I108" s="24"/>
      <c r="J108" s="46" t="s">
        <v>4</v>
      </c>
      <c r="K108" s="24"/>
      <c r="L108" s="24"/>
      <c r="M108" s="25"/>
      <c r="N108" s="25"/>
      <c r="O108" s="26" t="s">
        <v>2</v>
      </c>
      <c r="P108" s="26" t="s">
        <v>2</v>
      </c>
      <c r="Q108" s="26" t="s">
        <v>2</v>
      </c>
      <c r="R108" s="26" t="s">
        <v>2</v>
      </c>
      <c r="S108" s="26" t="s">
        <v>2</v>
      </c>
      <c r="T108" s="27" t="s">
        <v>2</v>
      </c>
      <c r="U108" s="27" t="s">
        <v>2</v>
      </c>
      <c r="V108" s="24"/>
      <c r="W108" s="24"/>
      <c r="X108" s="24"/>
      <c r="Y108" s="24"/>
      <c r="Z108" s="69"/>
      <c r="AA108" s="46" t="s">
        <v>4</v>
      </c>
      <c r="AB108" s="25"/>
      <c r="AC108" s="26" t="s">
        <v>2</v>
      </c>
      <c r="AD108" s="26" t="s">
        <v>2</v>
      </c>
      <c r="AE108" s="26" t="s">
        <v>2</v>
      </c>
      <c r="AF108" s="26" t="s">
        <v>2</v>
      </c>
      <c r="AG108" s="70" t="s">
        <v>2</v>
      </c>
      <c r="AI108" s="39" t="s">
        <v>40</v>
      </c>
      <c r="AJ108" s="40" t="s">
        <v>41</v>
      </c>
    </row>
    <row r="109" spans="2:36" x14ac:dyDescent="0.25">
      <c r="B109" s="23" t="s">
        <v>27</v>
      </c>
      <c r="C109" s="24"/>
      <c r="D109" s="24"/>
      <c r="E109" s="24"/>
      <c r="F109" s="25"/>
      <c r="G109" s="25"/>
      <c r="H109" s="67" t="s">
        <v>2</v>
      </c>
      <c r="I109" s="26" t="s">
        <v>2</v>
      </c>
      <c r="J109" s="67" t="s">
        <v>2</v>
      </c>
      <c r="K109" s="26" t="s">
        <v>2</v>
      </c>
      <c r="L109" s="26" t="s">
        <v>2</v>
      </c>
      <c r="M109" s="27" t="s">
        <v>2</v>
      </c>
      <c r="N109" s="27" t="s">
        <v>2</v>
      </c>
      <c r="O109" s="24"/>
      <c r="P109" s="24"/>
      <c r="Q109" s="24"/>
      <c r="R109" s="24"/>
      <c r="S109" s="24"/>
      <c r="T109" s="25"/>
      <c r="U109" s="25"/>
      <c r="V109" s="26" t="s">
        <v>2</v>
      </c>
      <c r="W109" s="26" t="s">
        <v>2</v>
      </c>
      <c r="X109" s="26" t="s">
        <v>2</v>
      </c>
      <c r="Y109" s="26" t="s">
        <v>2</v>
      </c>
      <c r="Z109" s="66" t="s">
        <v>2</v>
      </c>
      <c r="AA109" s="67" t="s">
        <v>2</v>
      </c>
      <c r="AB109" s="27" t="s">
        <v>2</v>
      </c>
      <c r="AC109" s="24"/>
      <c r="AD109" s="24"/>
      <c r="AE109" s="24"/>
      <c r="AF109" s="24"/>
      <c r="AG109" s="68"/>
      <c r="AI109" s="65" t="s">
        <v>42</v>
      </c>
      <c r="AJ109" s="40" t="s">
        <v>43</v>
      </c>
    </row>
    <row r="110" spans="2:36" x14ac:dyDescent="0.25">
      <c r="B110" s="23" t="s">
        <v>28</v>
      </c>
      <c r="C110" s="24"/>
      <c r="D110" s="24"/>
      <c r="E110" s="24"/>
      <c r="F110" s="25"/>
      <c r="G110" s="25"/>
      <c r="H110" s="67" t="s">
        <v>2</v>
      </c>
      <c r="I110" s="26" t="s">
        <v>2</v>
      </c>
      <c r="J110" s="67" t="s">
        <v>2</v>
      </c>
      <c r="K110" s="26" t="s">
        <v>2</v>
      </c>
      <c r="L110" s="26" t="s">
        <v>2</v>
      </c>
      <c r="M110" s="27" t="s">
        <v>2</v>
      </c>
      <c r="N110" s="27" t="s">
        <v>2</v>
      </c>
      <c r="O110" s="24"/>
      <c r="P110" s="24"/>
      <c r="Q110" s="24"/>
      <c r="R110" s="24"/>
      <c r="S110" s="24"/>
      <c r="T110" s="25"/>
      <c r="U110" s="25"/>
      <c r="V110" s="24"/>
      <c r="W110" s="24"/>
      <c r="X110" s="24"/>
      <c r="Y110" s="24"/>
      <c r="Z110" s="69"/>
      <c r="AA110" s="46" t="s">
        <v>4</v>
      </c>
      <c r="AB110" s="25"/>
      <c r="AC110" s="26" t="s">
        <v>2</v>
      </c>
      <c r="AD110" s="26" t="s">
        <v>2</v>
      </c>
      <c r="AE110" s="26" t="s">
        <v>2</v>
      </c>
      <c r="AF110" s="26" t="s">
        <v>2</v>
      </c>
      <c r="AG110" s="70" t="s">
        <v>2</v>
      </c>
    </row>
    <row r="111" spans="2:36" x14ac:dyDescent="0.25">
      <c r="B111" s="31" t="s">
        <v>29</v>
      </c>
      <c r="C111" s="34" t="s">
        <v>2</v>
      </c>
      <c r="D111" s="34" t="s">
        <v>2</v>
      </c>
      <c r="E111" s="34" t="s">
        <v>2</v>
      </c>
      <c r="F111" s="35" t="s">
        <v>2</v>
      </c>
      <c r="G111" s="35" t="s">
        <v>2</v>
      </c>
      <c r="H111" s="75" t="s">
        <v>4</v>
      </c>
      <c r="I111" s="32"/>
      <c r="J111" s="75" t="s">
        <v>4</v>
      </c>
      <c r="K111" s="32"/>
      <c r="L111" s="32"/>
      <c r="M111" s="33"/>
      <c r="N111" s="33"/>
      <c r="O111" s="34" t="s">
        <v>2</v>
      </c>
      <c r="P111" s="34" t="s">
        <v>2</v>
      </c>
      <c r="Q111" s="34" t="s">
        <v>2</v>
      </c>
      <c r="R111" s="34" t="s">
        <v>2</v>
      </c>
      <c r="S111" s="34" t="s">
        <v>2</v>
      </c>
      <c r="T111" s="35" t="s">
        <v>2</v>
      </c>
      <c r="U111" s="35" t="s">
        <v>2</v>
      </c>
      <c r="V111" s="32"/>
      <c r="W111" s="32"/>
      <c r="X111" s="32"/>
      <c r="Y111" s="32"/>
      <c r="Z111" s="91"/>
      <c r="AA111" s="75" t="s">
        <v>4</v>
      </c>
      <c r="AB111" s="33"/>
      <c r="AC111" s="32"/>
      <c r="AD111" s="32"/>
      <c r="AE111" s="32"/>
      <c r="AF111" s="32"/>
      <c r="AG111" s="73"/>
    </row>
  </sheetData>
  <mergeCells count="24">
    <mergeCell ref="C5:AG5"/>
    <mergeCell ref="B6:B7"/>
    <mergeCell ref="C14:AD14"/>
    <mergeCell ref="B15:B16"/>
    <mergeCell ref="C23:AG23"/>
    <mergeCell ref="B24:B25"/>
    <mergeCell ref="C32:AF32"/>
    <mergeCell ref="B33:B34"/>
    <mergeCell ref="C41:AG41"/>
    <mergeCell ref="B42:B43"/>
    <mergeCell ref="C50:AF50"/>
    <mergeCell ref="B51:B52"/>
    <mergeCell ref="C59:AG59"/>
    <mergeCell ref="B60:B61"/>
    <mergeCell ref="C68:AG68"/>
    <mergeCell ref="C95:AF95"/>
    <mergeCell ref="B96:B97"/>
    <mergeCell ref="C104:AG104"/>
    <mergeCell ref="B105:B106"/>
    <mergeCell ref="B69:B70"/>
    <mergeCell ref="C77:AF77"/>
    <mergeCell ref="B78:B79"/>
    <mergeCell ref="C86:AG86"/>
    <mergeCell ref="B87:B88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V19"/>
  <sheetViews>
    <sheetView showGridLines="0" zoomScaleNormal="1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U7" sqref="U7"/>
    </sheetView>
  </sheetViews>
  <sheetFormatPr baseColWidth="10" defaultColWidth="8.5703125" defaultRowHeight="15" x14ac:dyDescent="0.25"/>
  <cols>
    <col min="1" max="1" width="2" customWidth="1"/>
    <col min="2" max="2" width="14" customWidth="1"/>
    <col min="3" max="6" width="8" customWidth="1"/>
    <col min="7" max="7" width="11" customWidth="1"/>
    <col min="8" max="19" width="8" customWidth="1"/>
    <col min="20" max="23" width="11" customWidth="1"/>
  </cols>
  <sheetData>
    <row r="2" spans="2:22" ht="31.5" customHeight="1" x14ac:dyDescent="0.25">
      <c r="B2" s="92" t="s">
        <v>79</v>
      </c>
      <c r="C2" s="92" t="s">
        <v>80</v>
      </c>
      <c r="D2" s="92" t="s">
        <v>81</v>
      </c>
      <c r="E2" s="92" t="s">
        <v>82</v>
      </c>
      <c r="F2" s="92" t="s">
        <v>83</v>
      </c>
      <c r="G2" s="92" t="s">
        <v>84</v>
      </c>
      <c r="H2" s="92" t="s">
        <v>85</v>
      </c>
      <c r="I2" s="92" t="s">
        <v>86</v>
      </c>
      <c r="J2" s="92" t="s">
        <v>87</v>
      </c>
      <c r="K2" s="92" t="s">
        <v>88</v>
      </c>
      <c r="L2" s="92" t="s">
        <v>89</v>
      </c>
      <c r="M2" s="92" t="s">
        <v>90</v>
      </c>
      <c r="N2" s="92" t="s">
        <v>91</v>
      </c>
      <c r="O2" s="92" t="s">
        <v>92</v>
      </c>
      <c r="P2" s="92" t="s">
        <v>93</v>
      </c>
      <c r="Q2" s="92" t="s">
        <v>94</v>
      </c>
      <c r="R2" s="92" t="s">
        <v>95</v>
      </c>
      <c r="S2" s="92" t="s">
        <v>96</v>
      </c>
      <c r="T2" s="92" t="s">
        <v>97</v>
      </c>
      <c r="U2" s="119" t="s">
        <v>98</v>
      </c>
      <c r="V2" s="92" t="s">
        <v>99</v>
      </c>
    </row>
    <row r="3" spans="2:22" x14ac:dyDescent="0.25">
      <c r="B3" s="93" t="s">
        <v>25</v>
      </c>
      <c r="C3" s="94">
        <f>COUNTIF('CALENDARIO 2026'!$C$9:$AG$9,"*G*")</f>
        <v>14</v>
      </c>
      <c r="D3" s="94">
        <f>COUNTIF('CALENDARIO 2026'!$C$18:$AF$18,"*G*")</f>
        <v>14</v>
      </c>
      <c r="E3" s="94">
        <f>COUNTIF('CALENDARIO 2026'!$C$27:$AG$27,"*G*")</f>
        <v>11</v>
      </c>
      <c r="F3" s="95">
        <f>SUM(C3:E3)</f>
        <v>39</v>
      </c>
      <c r="G3" s="94">
        <f>COUNTIF('CALENDARIO 2027'!$C$8:$AG$8,"*G*")</f>
        <v>10</v>
      </c>
      <c r="H3" s="94">
        <f>COUNTIF('CALENDARIO 2027'!$C$17:$AD$17,"*G*")</f>
        <v>14</v>
      </c>
      <c r="I3" s="94">
        <f>COUNTIF('CALENDARIO 2027'!$C$26:$AG$26,"*G*")</f>
        <v>14</v>
      </c>
      <c r="J3" s="94">
        <f>COUNTIF('CALENDARIO 2027'!$C$35:$AF$35,"*G*")</f>
        <v>7</v>
      </c>
      <c r="K3" s="94">
        <f>COUNTIF('CALENDARIO 2027'!$C$44:$AG$44,"*G*")</f>
        <v>14</v>
      </c>
      <c r="L3" s="94">
        <f>COUNTIF('CALENDARIO 2027'!$C$53:$AF$53,"*G*")</f>
        <v>10</v>
      </c>
      <c r="M3" s="94">
        <f>COUNTIF('CALENDARIO 2027'!$C$62:$AG$62,"*G*")</f>
        <v>11</v>
      </c>
      <c r="N3" s="94">
        <f>COUNTIF('CALENDARIO 2027'!$C$71:$AG$71,"*G*")</f>
        <v>14</v>
      </c>
      <c r="O3" s="94">
        <f>COUNTIF('CALENDARIO 2027'!$C$80:$AF$80,"*G*")</f>
        <v>14</v>
      </c>
      <c r="P3" s="94">
        <f>COUNTIF('CALENDARIO 2027'!$C$89:$AG$89,"*G*")</f>
        <v>14</v>
      </c>
      <c r="Q3" s="94">
        <f>COUNTIF('CALENDARIO 2027'!$C$98:$AF$98,"*G*")</f>
        <v>9</v>
      </c>
      <c r="R3" s="94">
        <f>COUNTIF('CALENDARIO 2027'!$C$107:$AG$107,"*G*")</f>
        <v>12</v>
      </c>
      <c r="S3" s="95">
        <f>SUM(G3:R3)</f>
        <v>143</v>
      </c>
      <c r="T3" s="95">
        <f>F3+S3</f>
        <v>182</v>
      </c>
      <c r="U3" s="95">
        <f>FESTIVOS!J3+FESTIVOS!S11</f>
        <v>9</v>
      </c>
      <c r="V3" s="96">
        <f>T3-AVERAGE($T$3:$T$7)</f>
        <v>-0.80000000000001137</v>
      </c>
    </row>
    <row r="4" spans="2:22" x14ac:dyDescent="0.25">
      <c r="B4" s="93" t="s">
        <v>26</v>
      </c>
      <c r="C4" s="94">
        <f>COUNTIF('CALENDARIO 2026'!$C$10:$AG$10,"*G*")</f>
        <v>17</v>
      </c>
      <c r="D4" s="94">
        <f>COUNTIF('CALENDARIO 2026'!$C$19:$AF$19,"*G*")</f>
        <v>9</v>
      </c>
      <c r="E4" s="94">
        <f>COUNTIF('CALENDARIO 2026'!$C$28:$AG$28,"*G*")</f>
        <v>13</v>
      </c>
      <c r="F4" s="95">
        <f>SUM(C4:E4)</f>
        <v>39</v>
      </c>
      <c r="G4" s="94">
        <f>COUNTIF('CALENDARIO 2027'!$C$9:$AG$9,"*G*")</f>
        <v>14</v>
      </c>
      <c r="H4" s="94">
        <f>COUNTIF('CALENDARIO 2027'!$C$18:$AD$18,"*G*")</f>
        <v>7</v>
      </c>
      <c r="I4" s="94">
        <f>COUNTIF('CALENDARIO 2027'!$C$27:$AG$27,"*G*")</f>
        <v>17</v>
      </c>
      <c r="J4" s="94">
        <f>COUNTIF('CALENDARIO 2027'!$C$36:$AF$36,"*G*")</f>
        <v>11</v>
      </c>
      <c r="K4" s="94">
        <f>COUNTIF('CALENDARIO 2027'!$C$45:$AG$45,"*G*")</f>
        <v>14</v>
      </c>
      <c r="L4" s="94">
        <f>COUNTIF('CALENDARIO 2027'!$C$54:$AF$54,"*G*")</f>
        <v>10</v>
      </c>
      <c r="M4" s="94">
        <f>COUNTIF('CALENDARIO 2027'!$C$63:$AG$63,"*G*")</f>
        <v>11</v>
      </c>
      <c r="N4" s="94">
        <f>COUNTIF('CALENDARIO 2027'!$C$72:$AG$72,"*G*")</f>
        <v>14</v>
      </c>
      <c r="O4" s="94">
        <f>COUNTIF('CALENDARIO 2027'!$C$81:$AF$81,"*G*")</f>
        <v>11</v>
      </c>
      <c r="P4" s="94">
        <f>COUNTIF('CALENDARIO 2027'!$C$90:$AG$90,"*G*")</f>
        <v>10</v>
      </c>
      <c r="Q4" s="94">
        <f>COUNTIF('CALENDARIO 2027'!$C$99:$AF$99,"*G*")</f>
        <v>14</v>
      </c>
      <c r="R4" s="94">
        <f>COUNTIF('CALENDARIO 2027'!$C$108:$AG$108,"*G*")</f>
        <v>12</v>
      </c>
      <c r="S4" s="95">
        <f>SUM(G4:R4)</f>
        <v>145</v>
      </c>
      <c r="T4" s="95">
        <f>F4+S4</f>
        <v>184</v>
      </c>
      <c r="U4" s="95">
        <f>FESTIVOS!J4+FESTIVOS!S12</f>
        <v>10</v>
      </c>
      <c r="V4" s="96">
        <f>T4-AVERAGE($T$3:$T$7)</f>
        <v>1.1999999999999886</v>
      </c>
    </row>
    <row r="5" spans="2:22" x14ac:dyDescent="0.25">
      <c r="B5" s="93" t="s">
        <v>27</v>
      </c>
      <c r="C5" s="94">
        <f>COUNTIF('CALENDARIO 2026'!$C$11:$AG$11,"*G*")</f>
        <v>11</v>
      </c>
      <c r="D5" s="94">
        <f>COUNTIF('CALENDARIO 2026'!$C$20:$AF$20,"*G*")</f>
        <v>9</v>
      </c>
      <c r="E5" s="94">
        <f>COUNTIF('CALENDARIO 2026'!$C$29:$AG$29,"*G*")</f>
        <v>17</v>
      </c>
      <c r="F5" s="95">
        <f>SUM(C5:E5)</f>
        <v>37</v>
      </c>
      <c r="G5" s="94">
        <f>COUNTIF('CALENDARIO 2027'!$C$10:$AG$10,"*G*")</f>
        <v>10</v>
      </c>
      <c r="H5" s="94">
        <f>COUNTIF('CALENDARIO 2027'!$C$19:$AD$19,"*G*")</f>
        <v>14</v>
      </c>
      <c r="I5" s="94">
        <f>COUNTIF('CALENDARIO 2027'!$C$28:$AG$28,"*G*")</f>
        <v>10</v>
      </c>
      <c r="J5" s="94">
        <f>COUNTIF('CALENDARIO 2027'!$C$37:$AF$37,"*G*")</f>
        <v>16</v>
      </c>
      <c r="K5" s="94">
        <f>COUNTIF('CALENDARIO 2027'!$C$46:$AG$46,"*G*")</f>
        <v>10</v>
      </c>
      <c r="L5" s="94">
        <f>COUNTIF('CALENDARIO 2027'!$C$55:$AF$55,"*G*")</f>
        <v>13</v>
      </c>
      <c r="M5" s="94">
        <f>COUNTIF('CALENDARIO 2027'!$C$64:$AG$64,"*G*")</f>
        <v>14</v>
      </c>
      <c r="N5" s="94">
        <f>COUNTIF('CALENDARIO 2027'!$C$73:$AG$73,"*G*")</f>
        <v>14</v>
      </c>
      <c r="O5" s="94">
        <f>COUNTIF('CALENDARIO 2027'!$C$82:$AF$82,"*G*")</f>
        <v>11</v>
      </c>
      <c r="P5" s="94">
        <f>COUNTIF('CALENDARIO 2027'!$C$91:$AG$91,"*G*")</f>
        <v>10</v>
      </c>
      <c r="Q5" s="94">
        <f>COUNTIF('CALENDARIO 2027'!$C$100:$AF$100,"*G*")</f>
        <v>14</v>
      </c>
      <c r="R5" s="94">
        <f>COUNTIF('CALENDARIO 2027'!$C$109:$AG$109,"*G*")</f>
        <v>14</v>
      </c>
      <c r="S5" s="95">
        <f>SUM(G5:R5)</f>
        <v>150</v>
      </c>
      <c r="T5" s="95">
        <f>F5+S5</f>
        <v>187</v>
      </c>
      <c r="U5" s="95">
        <f>FESTIVOS!J5+FESTIVOS!S13</f>
        <v>9</v>
      </c>
      <c r="V5" s="96">
        <f>T5-AVERAGE($T$3:$T$7)</f>
        <v>4.1999999999999886</v>
      </c>
    </row>
    <row r="6" spans="2:22" x14ac:dyDescent="0.25">
      <c r="B6" s="93" t="s">
        <v>28</v>
      </c>
      <c r="C6" s="94">
        <f>COUNTIF('CALENDARIO 2026'!$C$12:$AG$12,"*G*")</f>
        <v>7</v>
      </c>
      <c r="D6" s="94">
        <f>COUNTIF('CALENDARIO 2026'!$C$21:$AF$21,"*G*")</f>
        <v>14</v>
      </c>
      <c r="E6" s="94">
        <f>COUNTIF('CALENDARIO 2026'!$C$30:$AG$30,"*G*")</f>
        <v>7</v>
      </c>
      <c r="F6" s="95">
        <f>SUM(C6:E6)</f>
        <v>28</v>
      </c>
      <c r="G6" s="94">
        <f>COUNTIF('CALENDARIO 2027'!$C$11:$AG$11,"*G*")</f>
        <v>14</v>
      </c>
      <c r="H6" s="94">
        <f>COUNTIF('CALENDARIO 2027'!$C$20:$AD$20,"*G*")</f>
        <v>14</v>
      </c>
      <c r="I6" s="94">
        <f>COUNTIF('CALENDARIO 2027'!$C$29:$AG$29,"*G*")</f>
        <v>7</v>
      </c>
      <c r="J6" s="94">
        <f>COUNTIF('CALENDARIO 2027'!$C$38:$AF$38,"*G*")</f>
        <v>14</v>
      </c>
      <c r="K6" s="94">
        <f>COUNTIF('CALENDARIO 2027'!$C$47:$AG$47,"*G*")</f>
        <v>14</v>
      </c>
      <c r="L6" s="94">
        <f>COUNTIF('CALENDARIO 2027'!$C$56:$AF$56,"*G*")</f>
        <v>14</v>
      </c>
      <c r="M6" s="94">
        <f>COUNTIF('CALENDARIO 2027'!$C$65:$AG$65,"*G*")</f>
        <v>13</v>
      </c>
      <c r="N6" s="94">
        <f>COUNTIF('CALENDARIO 2027'!$C$74:$AG$74,"*G*")</f>
        <v>10</v>
      </c>
      <c r="O6" s="94">
        <f>COUNTIF('CALENDARIO 2027'!$C$83:$AF$83,"*G*")</f>
        <v>12</v>
      </c>
      <c r="P6" s="94">
        <f>COUNTIF('CALENDARIO 2027'!$C$92:$AG$92,"*G*")</f>
        <v>14</v>
      </c>
      <c r="Q6" s="94">
        <f>COUNTIF('CALENDARIO 2027'!$C$101:$AF$101,"*G*")</f>
        <v>14</v>
      </c>
      <c r="R6" s="94">
        <f>COUNTIF('CALENDARIO 2027'!$C$110:$AG$110,"*G*")</f>
        <v>12</v>
      </c>
      <c r="S6" s="95">
        <f>SUM(G6:R6)</f>
        <v>152</v>
      </c>
      <c r="T6" s="95">
        <f>F6+S6</f>
        <v>180</v>
      </c>
      <c r="U6" s="95">
        <f>FESTIVOS!J6+FESTIVOS!S14</f>
        <v>10</v>
      </c>
      <c r="V6" s="96">
        <f>T6-AVERAGE($T$3:$T$7)</f>
        <v>-2.8000000000000114</v>
      </c>
    </row>
    <row r="7" spans="2:22" x14ac:dyDescent="0.25">
      <c r="B7" s="93" t="s">
        <v>29</v>
      </c>
      <c r="C7" s="94">
        <f>COUNTIF('CALENDARIO 2026'!$C$13:$AG$13,"*G*")</f>
        <v>13</v>
      </c>
      <c r="D7" s="94">
        <f>COUNTIF('CALENDARIO 2026'!$C$22:$AF$22,"*G*")</f>
        <v>14</v>
      </c>
      <c r="E7" s="94">
        <f>COUNTIF('CALENDARIO 2026'!$C$31:$AG$31,"*G*")</f>
        <v>14</v>
      </c>
      <c r="F7" s="95">
        <f>SUM(C7:E7)</f>
        <v>41</v>
      </c>
      <c r="G7" s="94">
        <f>COUNTIF('CALENDARIO 2027'!$C$12:$AG$12,"*G*")</f>
        <v>14</v>
      </c>
      <c r="H7" s="94">
        <f>COUNTIF('CALENDARIO 2027'!$C$21:$AD$21,"*G*")</f>
        <v>7</v>
      </c>
      <c r="I7" s="94">
        <f>COUNTIF('CALENDARIO 2027'!$C$30:$AG$30,"*G*")</f>
        <v>14</v>
      </c>
      <c r="J7" s="94">
        <f>COUNTIF('CALENDARIO 2027'!$C$39:$AF$39,"*G*")</f>
        <v>12</v>
      </c>
      <c r="K7" s="94">
        <f>COUNTIF('CALENDARIO 2027'!$C$48:$AG$48,"*G*")</f>
        <v>10</v>
      </c>
      <c r="L7" s="94">
        <f>COUNTIF('CALENDARIO 2027'!$C$57:$AF$57,"*G*")</f>
        <v>13</v>
      </c>
      <c r="M7" s="94">
        <f>COUNTIF('CALENDARIO 2027'!$C$66:$AG$66,"*G*")</f>
        <v>13</v>
      </c>
      <c r="N7" s="94">
        <f>COUNTIF('CALENDARIO 2027'!$C$75:$AG$75,"*G*")</f>
        <v>10</v>
      </c>
      <c r="O7" s="94">
        <f>COUNTIF('CALENDARIO 2027'!$C$84:$AF$84,"*G*")</f>
        <v>12</v>
      </c>
      <c r="P7" s="94">
        <f>COUNTIF('CALENDARIO 2027'!$C$93:$AG$93,"*G*")</f>
        <v>14</v>
      </c>
      <c r="Q7" s="94">
        <f>COUNTIF('CALENDARIO 2027'!$C$102:$AF$102,"*G*")</f>
        <v>9</v>
      </c>
      <c r="R7" s="94">
        <f>COUNTIF('CALENDARIO 2027'!$C$111:$AG$111,"*G*")</f>
        <v>12</v>
      </c>
      <c r="S7" s="95">
        <f>SUM(G7:R7)</f>
        <v>140</v>
      </c>
      <c r="T7" s="95">
        <f>F7+S7</f>
        <v>181</v>
      </c>
      <c r="U7" s="95">
        <f>FESTIVOS!J7+FESTIVOS!S15</f>
        <v>8</v>
      </c>
      <c r="V7" s="96">
        <f>T7-AVERAGE($T$3:$T$7)</f>
        <v>-1.8000000000000114</v>
      </c>
    </row>
    <row r="9" spans="2:22" x14ac:dyDescent="0.25">
      <c r="B9" s="97" t="s">
        <v>100</v>
      </c>
    </row>
    <row r="10" spans="2:22" x14ac:dyDescent="0.25">
      <c r="B10" s="97" t="s">
        <v>101</v>
      </c>
    </row>
    <row r="12" spans="2:22" ht="45" x14ac:dyDescent="0.25">
      <c r="B12" s="92" t="s">
        <v>102</v>
      </c>
      <c r="C12" s="92" t="s">
        <v>25</v>
      </c>
      <c r="D12" s="92" t="s">
        <v>26</v>
      </c>
      <c r="E12" s="92" t="s">
        <v>27</v>
      </c>
      <c r="F12" s="92" t="s">
        <v>28</v>
      </c>
      <c r="G12" s="92" t="s">
        <v>29</v>
      </c>
    </row>
    <row r="13" spans="2:22" x14ac:dyDescent="0.25">
      <c r="B13" s="93" t="s">
        <v>25</v>
      </c>
      <c r="C13" s="98" t="s">
        <v>103</v>
      </c>
      <c r="D13" s="94">
        <f>SUMPRODUCT(SEMANAS!$H$3:$H$65,SEMANAS!$I$3:$I$65)</f>
        <v>5</v>
      </c>
      <c r="E13" s="94">
        <f>SUMPRODUCT(SEMANAS!$H$3:$H$65,SEMANAS!$J$3:$J$65)</f>
        <v>7</v>
      </c>
      <c r="F13" s="94">
        <f>SUMPRODUCT(SEMANAS!$H$3:$H$65,SEMANAS!$K$3:$K$65)</f>
        <v>6</v>
      </c>
      <c r="G13" s="94">
        <f>SUMPRODUCT(SEMANAS!$H$3:$H$65,SEMANAS!$L$3:$L$65)</f>
        <v>7</v>
      </c>
    </row>
    <row r="14" spans="2:22" x14ac:dyDescent="0.25">
      <c r="B14" s="93" t="s">
        <v>26</v>
      </c>
      <c r="C14" s="94">
        <f>SUMPRODUCT(SEMANAS!$I$3:$I$65,SEMANAS!$H$3:$H$65)</f>
        <v>5</v>
      </c>
      <c r="D14" s="98" t="s">
        <v>103</v>
      </c>
      <c r="E14" s="94">
        <f>SUMPRODUCT(SEMANAS!$I$3:$I$65,SEMANAS!$J$3:$J$65)</f>
        <v>7</v>
      </c>
      <c r="F14" s="94">
        <f>SUMPRODUCT(SEMANAS!$I$3:$I$65,SEMANAS!$K$3:$K$65)</f>
        <v>7</v>
      </c>
      <c r="G14" s="94">
        <f>SUMPRODUCT(SEMANAS!$I$3:$I$65,SEMANAS!$L$3:$L$65)</f>
        <v>6</v>
      </c>
    </row>
    <row r="15" spans="2:22" x14ac:dyDescent="0.25">
      <c r="B15" s="93" t="s">
        <v>27</v>
      </c>
      <c r="C15" s="94">
        <f>SUMPRODUCT(SEMANAS!$J$3:$J$65,SEMANAS!$H$3:$H$65)</f>
        <v>7</v>
      </c>
      <c r="D15" s="94">
        <f>SUMPRODUCT(SEMANAS!$J$3:$J$65,SEMANAS!$I$3:$I$65)</f>
        <v>7</v>
      </c>
      <c r="E15" s="98" t="s">
        <v>103</v>
      </c>
      <c r="F15" s="94">
        <f>SUMPRODUCT(SEMANAS!$J$3:$J$65,SEMANAS!$K$3:$K$65)</f>
        <v>6</v>
      </c>
      <c r="G15" s="94">
        <f>SUMPRODUCT(SEMANAS!$J$3:$J$65,SEMANAS!$L$3:$L$65)</f>
        <v>6</v>
      </c>
    </row>
    <row r="16" spans="2:22" x14ac:dyDescent="0.25">
      <c r="B16" s="93" t="s">
        <v>28</v>
      </c>
      <c r="C16" s="94">
        <f>SUMPRODUCT(SEMANAS!$K$3:$K$65,SEMANAS!$H$3:$H$65)</f>
        <v>6</v>
      </c>
      <c r="D16" s="94">
        <f>SUMPRODUCT(SEMANAS!$K$3:$K$65,SEMANAS!$I$3:$I$65)</f>
        <v>7</v>
      </c>
      <c r="E16" s="94">
        <f>SUMPRODUCT(SEMANAS!$K$3:$K$65,SEMANAS!$J$3:$J$65)</f>
        <v>6</v>
      </c>
      <c r="F16" s="98" t="s">
        <v>103</v>
      </c>
      <c r="G16" s="94">
        <f>SUMPRODUCT(SEMANAS!$K$3:$K$65,SEMANAS!$L$3:$L$65)</f>
        <v>6</v>
      </c>
    </row>
    <row r="17" spans="2:7" x14ac:dyDescent="0.25">
      <c r="B17" s="93" t="s">
        <v>29</v>
      </c>
      <c r="C17" s="94">
        <f>SUMPRODUCT(SEMANAS!$L$3:$L$65,SEMANAS!$H$3:$H$65)</f>
        <v>7</v>
      </c>
      <c r="D17" s="94">
        <f>SUMPRODUCT(SEMANAS!$L$3:$L$65,SEMANAS!$I$3:$I$65)</f>
        <v>6</v>
      </c>
      <c r="E17" s="94">
        <f>SUMPRODUCT(SEMANAS!$L$3:$L$65,SEMANAS!$J$3:$J$65)</f>
        <v>6</v>
      </c>
      <c r="F17" s="94">
        <f>SUMPRODUCT(SEMANAS!$L$3:$L$65,SEMANAS!$K$3:$K$65)</f>
        <v>6</v>
      </c>
      <c r="G17" s="98" t="s">
        <v>103</v>
      </c>
    </row>
    <row r="19" spans="2:7" x14ac:dyDescent="0.25">
      <c r="B19" s="97" t="s">
        <v>104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T18"/>
  <sheetViews>
    <sheetView showGridLines="0" zoomScaleNormal="100" workbookViewId="0">
      <selection activeCell="B2" sqref="B2"/>
    </sheetView>
  </sheetViews>
  <sheetFormatPr baseColWidth="10" defaultColWidth="7.5703125" defaultRowHeight="15" x14ac:dyDescent="0.25"/>
  <cols>
    <col min="1" max="1" width="4.5703125" customWidth="1"/>
    <col min="2" max="2" width="10.28515625" customWidth="1"/>
  </cols>
  <sheetData>
    <row r="2" spans="2:20" ht="48" customHeight="1" x14ac:dyDescent="0.25">
      <c r="B2" s="92" t="s">
        <v>105</v>
      </c>
      <c r="C2" s="99" t="s">
        <v>106</v>
      </c>
      <c r="D2" s="100" t="s">
        <v>107</v>
      </c>
      <c r="E2" s="100" t="s">
        <v>108</v>
      </c>
      <c r="F2" s="99" t="s">
        <v>109</v>
      </c>
      <c r="G2" s="101" t="s">
        <v>110</v>
      </c>
      <c r="H2" s="99" t="s">
        <v>111</v>
      </c>
      <c r="I2" s="101" t="s">
        <v>112</v>
      </c>
      <c r="J2" s="92" t="s">
        <v>113</v>
      </c>
    </row>
    <row r="3" spans="2:20" x14ac:dyDescent="0.25">
      <c r="B3" s="93" t="s">
        <v>25</v>
      </c>
      <c r="C3" s="94" t="str">
        <f>IF('CALENDARIO 2026'!N9="G",1,"")</f>
        <v/>
      </c>
      <c r="D3" s="94" t="str">
        <f>IF('CALENDARIO 2026'!D18="G",1,"")</f>
        <v/>
      </c>
      <c r="E3" s="94" t="str">
        <f>IF('CALENDARIO 2026'!I27="G",1,"")</f>
        <v/>
      </c>
      <c r="F3" s="94" t="str">
        <f>IF('CALENDARIO 2026'!J27="G",1,"")</f>
        <v/>
      </c>
      <c r="G3" s="94" t="str">
        <f>IF('CALENDARIO 2026'!Z27="G",1,"")</f>
        <v/>
      </c>
      <c r="H3" s="94" t="str">
        <f>IF('CALENDARIO 2026'!AA27="G",1,"")</f>
        <v/>
      </c>
      <c r="I3" s="94">
        <f>IF('CALENDARIO 2026'!AG27="G",1,"")</f>
        <v>1</v>
      </c>
      <c r="J3" s="102">
        <f>SUM(C3:I3)</f>
        <v>1</v>
      </c>
    </row>
    <row r="4" spans="2:20" x14ac:dyDescent="0.25">
      <c r="B4" s="93" t="s">
        <v>26</v>
      </c>
      <c r="C4" s="94">
        <f>IF('CALENDARIO 2026'!N10="G",1,"")</f>
        <v>1</v>
      </c>
      <c r="D4" s="94" t="str">
        <f>IF('CALENDARIO 2026'!D19="G",1,"")</f>
        <v/>
      </c>
      <c r="E4" s="94" t="str">
        <f>IF('CALENDARIO 2026'!I28="G",1,"")</f>
        <v/>
      </c>
      <c r="F4" s="94" t="str">
        <f>IF('CALENDARIO 2026'!J28="G",1,"")</f>
        <v/>
      </c>
      <c r="G4" s="94">
        <f>IF('CALENDARIO 2026'!Z28="G",1,"")</f>
        <v>1</v>
      </c>
      <c r="H4" s="94">
        <f>IF('CALENDARIO 2026'!AA28="G",1,"")</f>
        <v>1</v>
      </c>
      <c r="I4" s="94" t="str">
        <f>IF('CALENDARIO 2026'!AG28="G",1,"")</f>
        <v/>
      </c>
      <c r="J4" s="102">
        <f>SUM(C4:I4)</f>
        <v>3</v>
      </c>
    </row>
    <row r="5" spans="2:20" x14ac:dyDescent="0.25">
      <c r="B5" s="93" t="s">
        <v>27</v>
      </c>
      <c r="C5" s="94" t="str">
        <f>IF('CALENDARIO 2026'!N11="G",1,"")</f>
        <v/>
      </c>
      <c r="D5" s="94" t="str">
        <f>IF('CALENDARIO 2026'!D20="G",1,"")</f>
        <v/>
      </c>
      <c r="E5" s="94" t="str">
        <f>IF('CALENDARIO 2026'!I29="G",1,"")</f>
        <v/>
      </c>
      <c r="F5" s="94" t="str">
        <f>IF('CALENDARIO 2026'!J29="G",1,"")</f>
        <v/>
      </c>
      <c r="G5" s="94" t="str">
        <f>IF('CALENDARIO 2026'!Z29="G",1,"")</f>
        <v/>
      </c>
      <c r="H5" s="94" t="str">
        <f>IF('CALENDARIO 2026'!AA29="G",1,"")</f>
        <v/>
      </c>
      <c r="I5" s="94">
        <f>IF('CALENDARIO 2026'!AG29="G",1,"")</f>
        <v>1</v>
      </c>
      <c r="J5" s="102">
        <f>SUM(C5:I5)</f>
        <v>1</v>
      </c>
    </row>
    <row r="6" spans="2:20" x14ac:dyDescent="0.25">
      <c r="B6" s="93" t="s">
        <v>28</v>
      </c>
      <c r="C6" s="94">
        <f>IF('CALENDARIO 2026'!N12="G",1,"")</f>
        <v>1</v>
      </c>
      <c r="D6" s="94">
        <f>IF('CALENDARIO 2026'!D21="G",1,"")</f>
        <v>1</v>
      </c>
      <c r="E6" s="94">
        <f>IF('CALENDARIO 2026'!I30="G",1,"")</f>
        <v>1</v>
      </c>
      <c r="F6" s="94">
        <f>IF('CALENDARIO 2026'!J30="G",1,"")</f>
        <v>1</v>
      </c>
      <c r="G6" s="94" t="str">
        <f>IF('CALENDARIO 2026'!Z30="G",1,"")</f>
        <v/>
      </c>
      <c r="H6" s="94" t="str">
        <f>IF('CALENDARIO 2026'!AA30="G",1,"")</f>
        <v/>
      </c>
      <c r="I6" s="94" t="str">
        <f>IF('CALENDARIO 2026'!AG30="G",1,"")</f>
        <v/>
      </c>
      <c r="J6" s="102">
        <f>SUM(C6:I6)</f>
        <v>4</v>
      </c>
    </row>
    <row r="7" spans="2:20" x14ac:dyDescent="0.25">
      <c r="B7" s="93" t="s">
        <v>29</v>
      </c>
      <c r="C7" s="94" t="str">
        <f>IF('CALENDARIO 2026'!N13="G",1,"")</f>
        <v/>
      </c>
      <c r="D7" s="94">
        <f>IF('CALENDARIO 2026'!D22="G",1,"")</f>
        <v>1</v>
      </c>
      <c r="E7" s="94">
        <f>IF('CALENDARIO 2026'!I31="G",1,"")</f>
        <v>1</v>
      </c>
      <c r="F7" s="94">
        <f>IF('CALENDARIO 2026'!J31="G",1,"")</f>
        <v>1</v>
      </c>
      <c r="G7" s="94">
        <f>IF('CALENDARIO 2026'!Z31="G",1,"")</f>
        <v>1</v>
      </c>
      <c r="H7" s="94">
        <f>IF('CALENDARIO 2026'!AA31="G",1,"")</f>
        <v>1</v>
      </c>
      <c r="I7" s="94" t="str">
        <f>IF('CALENDARIO 2026'!AG31="G",1,"")</f>
        <v/>
      </c>
      <c r="J7" s="102">
        <f>SUM(C7:I7)</f>
        <v>5</v>
      </c>
    </row>
    <row r="9" spans="2:20" ht="15.75" thickBot="1" x14ac:dyDescent="0.3"/>
    <row r="10" spans="2:20" ht="48" customHeight="1" thickBot="1" x14ac:dyDescent="0.3">
      <c r="B10" s="92" t="s">
        <v>114</v>
      </c>
      <c r="C10" s="99" t="s">
        <v>115</v>
      </c>
      <c r="D10" s="99" t="s">
        <v>116</v>
      </c>
      <c r="E10" s="100" t="s">
        <v>117</v>
      </c>
      <c r="F10" s="100" t="s">
        <v>118</v>
      </c>
      <c r="G10" s="99" t="s">
        <v>119</v>
      </c>
      <c r="H10" s="103" t="s">
        <v>120</v>
      </c>
      <c r="I10" s="99" t="s">
        <v>121</v>
      </c>
      <c r="J10" s="103" t="s">
        <v>122</v>
      </c>
      <c r="K10" s="100" t="s">
        <v>123</v>
      </c>
      <c r="L10" s="99" t="s">
        <v>106</v>
      </c>
      <c r="M10" s="99" t="s">
        <v>124</v>
      </c>
      <c r="N10" s="99" t="s">
        <v>125</v>
      </c>
      <c r="O10" s="99" t="s">
        <v>109</v>
      </c>
      <c r="P10" s="101" t="s">
        <v>110</v>
      </c>
      <c r="Q10" s="99" t="s">
        <v>111</v>
      </c>
      <c r="R10" s="133" t="s">
        <v>112</v>
      </c>
      <c r="S10" s="136" t="s">
        <v>126</v>
      </c>
      <c r="T10" s="134" t="s">
        <v>127</v>
      </c>
    </row>
    <row r="11" spans="2:20" x14ac:dyDescent="0.25">
      <c r="B11" s="93" t="s">
        <v>25</v>
      </c>
      <c r="C11" s="94">
        <f>IF('CALENDARIO 2027'!C8="G",1,"")</f>
        <v>1</v>
      </c>
      <c r="D11" s="94" t="str">
        <f>IF('CALENDARIO 2027'!H8="G",1,"")</f>
        <v/>
      </c>
      <c r="E11" s="94">
        <f>IF('CALENDARIO 2027'!C26="G",1,"")</f>
        <v>1</v>
      </c>
      <c r="F11" s="94">
        <f>IF('CALENDARIO 2027'!AA26="G",1,"")</f>
        <v>1</v>
      </c>
      <c r="G11" s="94">
        <f>IF('CALENDARIO 2027'!AB26="G",1,"")</f>
        <v>1</v>
      </c>
      <c r="H11" s="94">
        <f>IF('CALENDARIO 2027'!P35="G",1,"")</f>
        <v>1</v>
      </c>
      <c r="I11" s="94" t="str">
        <f>IF('CALENDARIO 2027'!C44="G",1,"")</f>
        <v/>
      </c>
      <c r="J11" s="94" t="str">
        <f>IF('CALENDARIO 2027'!AC44="G",1,"")</f>
        <v/>
      </c>
      <c r="K11" s="94" t="str">
        <f>IF('CALENDARIO 2027'!R71="G",1,"")</f>
        <v/>
      </c>
      <c r="L11" s="94">
        <f>IF('CALENDARIO 2027'!N89="G",1,"")</f>
        <v>1</v>
      </c>
      <c r="M11" s="94" t="str">
        <f>IF('CALENDARIO 2027'!C98="G",1,"")</f>
        <v/>
      </c>
      <c r="N11" s="94" t="str">
        <f>IF('CALENDARIO 2027'!H107="G",1,"")</f>
        <v/>
      </c>
      <c r="O11" s="94" t="str">
        <f>IF('CALENDARIO 2027'!J107="G",1,"")</f>
        <v/>
      </c>
      <c r="P11" s="94">
        <f>IF('CALENDARIO 2027'!Z107="G",1,"")</f>
        <v>1</v>
      </c>
      <c r="Q11" s="94">
        <f>IF('CALENDARIO 2027'!AA107="G",1,"")</f>
        <v>1</v>
      </c>
      <c r="R11" s="94" t="str">
        <f>IF('CALENDARIO 2027'!AG107="G",1,"")</f>
        <v/>
      </c>
      <c r="S11" s="135">
        <f>SUM(C11:R11)</f>
        <v>8</v>
      </c>
      <c r="T11" s="102">
        <f>SUM(J3,S11)</f>
        <v>9</v>
      </c>
    </row>
    <row r="12" spans="2:20" x14ac:dyDescent="0.25">
      <c r="B12" s="93" t="s">
        <v>26</v>
      </c>
      <c r="C12" s="94" t="str">
        <f>IF('CALENDARIO 2027'!C9="G",1,"")</f>
        <v/>
      </c>
      <c r="D12" s="94">
        <f>IF('CALENDARIO 2027'!H9="G",1,"")</f>
        <v>1</v>
      </c>
      <c r="E12" s="94">
        <f>IF('CALENDARIO 2027'!C27="G",1,"")</f>
        <v>1</v>
      </c>
      <c r="F12" s="94" t="str">
        <f>IF('CALENDARIO 2027'!AA27="G",1,"")</f>
        <v/>
      </c>
      <c r="G12" s="94" t="str">
        <f>IF('CALENDARIO 2027'!AB27="G",1,"")</f>
        <v/>
      </c>
      <c r="H12" s="94" t="str">
        <f>IF('CALENDARIO 2027'!P36="G",1,"")</f>
        <v/>
      </c>
      <c r="I12" s="94" t="str">
        <f>IF('CALENDARIO 2027'!C45="G",1,"")</f>
        <v/>
      </c>
      <c r="J12" s="94">
        <f>IF('CALENDARIO 2027'!AC45="G",1,"")</f>
        <v>1</v>
      </c>
      <c r="K12" s="94">
        <f>IF('CALENDARIO 2027'!R72="G",1,"")</f>
        <v>1</v>
      </c>
      <c r="L12" s="94">
        <f>IF('CALENDARIO 2027'!N90="G",1,"")</f>
        <v>1</v>
      </c>
      <c r="M12" s="94">
        <f>IF('CALENDARIO 2027'!C99="G",1,"")</f>
        <v>1</v>
      </c>
      <c r="N12" s="94" t="str">
        <f>IF('CALENDARIO 2027'!H108="G",1,"")</f>
        <v/>
      </c>
      <c r="O12" s="94" t="str">
        <f>IF('CALENDARIO 2027'!J108="G",1,"")</f>
        <v/>
      </c>
      <c r="P12" s="94" t="str">
        <f>IF('CALENDARIO 2027'!Z108="G",1,"")</f>
        <v/>
      </c>
      <c r="Q12" s="94" t="str">
        <f>IF('CALENDARIO 2027'!AA108="G",1,"")</f>
        <v/>
      </c>
      <c r="R12" s="94">
        <f>IF('CALENDARIO 2027'!AG108="G",1,"")</f>
        <v>1</v>
      </c>
      <c r="S12" s="102">
        <f>SUM(C12:R12)</f>
        <v>7</v>
      </c>
      <c r="T12" s="102">
        <f t="shared" ref="T12:T15" si="0">SUM(J4,S12)</f>
        <v>10</v>
      </c>
    </row>
    <row r="13" spans="2:20" x14ac:dyDescent="0.25">
      <c r="B13" s="93" t="s">
        <v>27</v>
      </c>
      <c r="C13" s="94">
        <f>IF('CALENDARIO 2027'!C10="G",1,"")</f>
        <v>1</v>
      </c>
      <c r="D13" s="94" t="str">
        <f>IF('CALENDARIO 2027'!H10="G",1,"")</f>
        <v/>
      </c>
      <c r="E13" s="94" t="str">
        <f>IF('CALENDARIO 2027'!C28="G",1,"")</f>
        <v/>
      </c>
      <c r="F13" s="94" t="str">
        <f>IF('CALENDARIO 2027'!AA28="G",1,"")</f>
        <v/>
      </c>
      <c r="G13" s="94" t="str">
        <f>IF('CALENDARIO 2027'!AB28="G",1,"")</f>
        <v/>
      </c>
      <c r="H13" s="94">
        <f>IF('CALENDARIO 2027'!P37="G",1,"")</f>
        <v>1</v>
      </c>
      <c r="I13" s="94">
        <f>IF('CALENDARIO 2027'!C46="G",1,"")</f>
        <v>1</v>
      </c>
      <c r="J13" s="94" t="str">
        <f>IF('CALENDARIO 2027'!AC46="G",1,"")</f>
        <v/>
      </c>
      <c r="K13" s="94" t="str">
        <f>IF('CALENDARIO 2027'!R73="G",1,"")</f>
        <v/>
      </c>
      <c r="L13" s="94" t="str">
        <f>IF('CALENDARIO 2027'!N91="G",1,"")</f>
        <v/>
      </c>
      <c r="M13" s="94">
        <f>IF('CALENDARIO 2027'!C100="G",1,"")</f>
        <v>1</v>
      </c>
      <c r="N13" s="94">
        <f>IF('CALENDARIO 2027'!H109="G",1,"")</f>
        <v>1</v>
      </c>
      <c r="O13" s="94">
        <f>IF('CALENDARIO 2027'!J109="G",1,"")</f>
        <v>1</v>
      </c>
      <c r="P13" s="94">
        <f>IF('CALENDARIO 2027'!Z109="G",1,"")</f>
        <v>1</v>
      </c>
      <c r="Q13" s="94">
        <f>IF('CALENDARIO 2027'!AA109="G",1,"")</f>
        <v>1</v>
      </c>
      <c r="R13" s="94" t="str">
        <f>IF('CALENDARIO 2027'!AG109="G",1,"")</f>
        <v/>
      </c>
      <c r="S13" s="102">
        <f>SUM(C13:R13)</f>
        <v>8</v>
      </c>
      <c r="T13" s="102">
        <f t="shared" si="0"/>
        <v>9</v>
      </c>
    </row>
    <row r="14" spans="2:20" x14ac:dyDescent="0.25">
      <c r="B14" s="93" t="s">
        <v>28</v>
      </c>
      <c r="C14" s="94" t="str">
        <f>IF('CALENDARIO 2027'!C11="G",1,"")</f>
        <v/>
      </c>
      <c r="D14" s="94">
        <f>IF('CALENDARIO 2027'!H11="G",1,"")</f>
        <v>1</v>
      </c>
      <c r="E14" s="94" t="str">
        <f>IF('CALENDARIO 2027'!C29="G",1,"")</f>
        <v/>
      </c>
      <c r="F14" s="94" t="str">
        <f>IF('CALENDARIO 2027'!AA29="G",1,"")</f>
        <v/>
      </c>
      <c r="G14" s="94" t="str">
        <f>IF('CALENDARIO 2027'!AB29="G",1,"")</f>
        <v/>
      </c>
      <c r="H14" s="94" t="str">
        <f>IF('CALENDARIO 2027'!P38="G",1,"")</f>
        <v/>
      </c>
      <c r="I14" s="94" t="str">
        <f>IF('CALENDARIO 2027'!C47="G",1,"")</f>
        <v/>
      </c>
      <c r="J14" s="94">
        <f>IF('CALENDARIO 2027'!AC47="G",1,"")</f>
        <v>1</v>
      </c>
      <c r="K14" s="94">
        <f>IF('CALENDARIO 2027'!R74="G",1,"")</f>
        <v>1</v>
      </c>
      <c r="L14" s="94" t="str">
        <f>IF('CALENDARIO 2027'!N92="G",1,"")</f>
        <v/>
      </c>
      <c r="M14" s="94" t="str">
        <f>IF('CALENDARIO 2027'!C101="G",1,"")</f>
        <v/>
      </c>
      <c r="N14" s="94">
        <f>IF('CALENDARIO 2027'!H110="G",1,"")</f>
        <v>1</v>
      </c>
      <c r="O14" s="94">
        <f>IF('CALENDARIO 2027'!J110="G",1,"")</f>
        <v>1</v>
      </c>
      <c r="P14" s="94" t="str">
        <f>IF('CALENDARIO 2027'!Z110="G",1,"")</f>
        <v/>
      </c>
      <c r="Q14" s="94" t="str">
        <f>IF('CALENDARIO 2027'!AA110="G",1,"")</f>
        <v/>
      </c>
      <c r="R14" s="94">
        <f>IF('CALENDARIO 2027'!AG110="G",1,"")</f>
        <v>1</v>
      </c>
      <c r="S14" s="102">
        <f>SUM(C14:R14)</f>
        <v>6</v>
      </c>
      <c r="T14" s="102">
        <f t="shared" si="0"/>
        <v>10</v>
      </c>
    </row>
    <row r="15" spans="2:20" x14ac:dyDescent="0.25">
      <c r="B15" s="93" t="s">
        <v>29</v>
      </c>
      <c r="C15" s="94" t="str">
        <f>IF('CALENDARIO 2027'!C12="G",1,"")</f>
        <v/>
      </c>
      <c r="D15" s="94" t="str">
        <f>IF('CALENDARIO 2027'!H12="G",1,"")</f>
        <v/>
      </c>
      <c r="E15" s="94" t="str">
        <f>IF('CALENDARIO 2027'!C30="G",1,"")</f>
        <v/>
      </c>
      <c r="F15" s="94">
        <f>IF('CALENDARIO 2027'!AA30="G",1,"")</f>
        <v>1</v>
      </c>
      <c r="G15" s="94">
        <f>IF('CALENDARIO 2027'!AB30="G",1,"")</f>
        <v>1</v>
      </c>
      <c r="H15" s="94" t="str">
        <f>IF('CALENDARIO 2027'!P39="G",1,"")</f>
        <v/>
      </c>
      <c r="I15" s="94">
        <f>IF('CALENDARIO 2027'!C48="G",1,"")</f>
        <v>1</v>
      </c>
      <c r="J15" s="94" t="str">
        <f>IF('CALENDARIO 2027'!AC48="G",1,"")</f>
        <v/>
      </c>
      <c r="K15" s="94" t="str">
        <f>IF('CALENDARIO 2027'!R75="G",1,"")</f>
        <v/>
      </c>
      <c r="L15" s="94" t="str">
        <f>IF('CALENDARIO 2027'!N93="G",1,"")</f>
        <v/>
      </c>
      <c r="M15" s="94" t="str">
        <f>IF('CALENDARIO 2027'!C102="G",1,"")</f>
        <v/>
      </c>
      <c r="N15" s="94" t="str">
        <f>IF('CALENDARIO 2027'!H111="G",1,"")</f>
        <v/>
      </c>
      <c r="O15" s="94" t="str">
        <f>IF('CALENDARIO 2027'!J111="G",1,"")</f>
        <v/>
      </c>
      <c r="P15" s="94" t="str">
        <f>IF('CALENDARIO 2027'!Z111="G",1,"")</f>
        <v/>
      </c>
      <c r="Q15" s="94" t="str">
        <f>IF('CALENDARIO 2027'!AA111="G",1,"")</f>
        <v/>
      </c>
      <c r="R15" s="94" t="str">
        <f>IF('CALENDARIO 2027'!AG111="G",1,"")</f>
        <v/>
      </c>
      <c r="S15" s="102">
        <f>SUM(C15:R15)</f>
        <v>3</v>
      </c>
      <c r="T15" s="102">
        <f t="shared" si="0"/>
        <v>8</v>
      </c>
    </row>
    <row r="18" spans="2:2" x14ac:dyDescent="0.25">
      <c r="B18" s="97" t="s">
        <v>128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93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baseColWidth="10" defaultColWidth="8.5703125" defaultRowHeight="15" x14ac:dyDescent="0.25"/>
  <cols>
    <col min="1" max="1" width="2" customWidth="1"/>
    <col min="2" max="2" width="7" customWidth="1"/>
    <col min="3" max="4" width="12" customWidth="1"/>
    <col min="5" max="5" width="19.42578125" customWidth="1"/>
    <col min="6" max="6" width="47.140625" customWidth="1"/>
    <col min="7" max="7" width="5.5703125" customWidth="1"/>
    <col min="8" max="12" width="9" customWidth="1"/>
  </cols>
  <sheetData>
    <row r="1" spans="2:12" x14ac:dyDescent="0.25">
      <c r="H1" s="104" t="s">
        <v>129</v>
      </c>
    </row>
    <row r="2" spans="2:12" x14ac:dyDescent="0.25">
      <c r="B2" s="92" t="s">
        <v>130</v>
      </c>
      <c r="C2" s="92" t="s">
        <v>131</v>
      </c>
      <c r="D2" s="92" t="s">
        <v>132</v>
      </c>
      <c r="E2" s="92" t="s">
        <v>133</v>
      </c>
      <c r="F2" s="92" t="s">
        <v>134</v>
      </c>
      <c r="H2" s="105" t="s">
        <v>25</v>
      </c>
      <c r="I2" s="105" t="s">
        <v>26</v>
      </c>
      <c r="J2" s="105" t="s">
        <v>27</v>
      </c>
      <c r="K2" s="105" t="s">
        <v>28</v>
      </c>
      <c r="L2" s="105" t="s">
        <v>29</v>
      </c>
    </row>
    <row r="3" spans="2:12" x14ac:dyDescent="0.25">
      <c r="B3" s="106">
        <v>1</v>
      </c>
      <c r="C3" s="107">
        <v>46314</v>
      </c>
      <c r="D3" s="107">
        <v>46320</v>
      </c>
      <c r="E3" s="108" t="str">
        <f>LEFT(IF('CALENDARIO 2026'!U9="G","JAVI · ","")&amp;IF('CALENDARIO 2026'!U10="G","JOSE · ","")&amp;IF('CALENDARIO 2026'!U11="G","JOSE LUIS · ","")&amp;IF('CALENDARIO 2026'!U12="G","ALBERTO · ","")&amp;IF('CALENDARIO 2026'!U13="G","MOLINERO · ",""),LEN(IF('CALENDARIO 2026'!U9="G","JAVI · ","")&amp;IF('CALENDARIO 2026'!U10="G","JOSE · ","")&amp;IF('CALENDARIO 2026'!U11="G","JOSE LUIS · ","")&amp;IF('CALENDARIO 2026'!U12="G","ALBERTO · ","")&amp;IF('CALENDARIO 2026'!U13="G","MOLINERO · ",""))-3)</f>
        <v>JAVI · MOLINERO</v>
      </c>
      <c r="F3" s="109"/>
      <c r="H3" s="110">
        <f>IF('CALENDARIO 2026'!U9="G",1,0)</f>
        <v>1</v>
      </c>
      <c r="I3" s="110">
        <f>IF('CALENDARIO 2026'!U10="G",1,0)</f>
        <v>0</v>
      </c>
      <c r="J3" s="110">
        <f>IF('CALENDARIO 2026'!U11="G",1,0)</f>
        <v>0</v>
      </c>
      <c r="K3" s="110">
        <f>IF('CALENDARIO 2026'!U12="G",1,0)</f>
        <v>0</v>
      </c>
      <c r="L3" s="110">
        <f>IF('CALENDARIO 2026'!U13="G",1,0)</f>
        <v>1</v>
      </c>
    </row>
    <row r="4" spans="2:12" x14ac:dyDescent="0.25">
      <c r="B4" s="111">
        <v>2</v>
      </c>
      <c r="C4" s="112">
        <v>46321</v>
      </c>
      <c r="D4" s="112">
        <v>46327</v>
      </c>
      <c r="E4" s="113" t="str">
        <f>LEFT(IF('CALENDARIO 2026'!AB9="G","JAVI · ","")&amp;IF('CALENDARIO 2026'!AB10="G","JOSE · ","")&amp;IF('CALENDARIO 2026'!AB11="G","JOSE LUIS · ","")&amp;IF('CALENDARIO 2026'!AB12="G","ALBERTO · ","")&amp;IF('CALENDARIO 2026'!AB13="G","MOLINERO · ",""),LEN(IF('CALENDARIO 2026'!AB9="G","JAVI · ","")&amp;IF('CALENDARIO 2026'!AB10="G","JOSE · ","")&amp;IF('CALENDARIO 2026'!AB11="G","JOSE LUIS · ","")&amp;IF('CALENDARIO 2026'!AB12="G","ALBERTO · ","")&amp;IF('CALENDARIO 2026'!AB13="G","MOLINERO · ",""))-3)</f>
        <v>JOSE · JOSE LUIS</v>
      </c>
      <c r="F4" s="114"/>
      <c r="H4" s="110">
        <f>IF('CALENDARIO 2026'!AB9="G",1,0)</f>
        <v>0</v>
      </c>
      <c r="I4" s="110">
        <f>IF('CALENDARIO 2026'!AB10="G",1,0)</f>
        <v>1</v>
      </c>
      <c r="J4" s="110">
        <f>IF('CALENDARIO 2026'!AB11="G",1,0)</f>
        <v>1</v>
      </c>
      <c r="K4" s="110">
        <f>IF('CALENDARIO 2026'!AB12="G",1,0)</f>
        <v>0</v>
      </c>
      <c r="L4" s="110">
        <f>IF('CALENDARIO 2026'!AB13="G",1,0)</f>
        <v>0</v>
      </c>
    </row>
    <row r="5" spans="2:12" x14ac:dyDescent="0.25">
      <c r="B5" s="115">
        <v>3</v>
      </c>
      <c r="C5" s="116">
        <v>46328</v>
      </c>
      <c r="D5" s="116">
        <v>46334</v>
      </c>
      <c r="E5" s="117" t="str">
        <f>LEFT(IF('CALENDARIO 2026'!D18="G","JAVI · ","")&amp;IF('CALENDARIO 2026'!D19="G","JOSE · ","")&amp;IF('CALENDARIO 2026'!D20="G","JOSE LUIS · ","")&amp;IF('CALENDARIO 2026'!D21="G","ALBERTO · ","")&amp;IF('CALENDARIO 2026'!D22="G","MOLINERO · ",""),LEN(IF('CALENDARIO 2026'!D18="G","JAVI · ","")&amp;IF('CALENDARIO 2026'!D19="G","JOSE · ","")&amp;IF('CALENDARIO 2026'!D20="G","JOSE LUIS · ","")&amp;IF('CALENDARIO 2026'!D21="G","ALBERTO · ","")&amp;IF('CALENDARIO 2026'!D22="G","MOLINERO · ",""))-3)</f>
        <v>ALBERTO · MOLINERO</v>
      </c>
      <c r="F5" s="118" t="s">
        <v>135</v>
      </c>
      <c r="H5" s="110">
        <f>IF('CALENDARIO 2026'!D18="G",1,0)</f>
        <v>0</v>
      </c>
      <c r="I5" s="110">
        <f>IF('CALENDARIO 2026'!D19="G",1,0)</f>
        <v>0</v>
      </c>
      <c r="J5" s="110">
        <f>IF('CALENDARIO 2026'!D20="G",1,0)</f>
        <v>0</v>
      </c>
      <c r="K5" s="110">
        <f>IF('CALENDARIO 2026'!D21="G",1,0)</f>
        <v>1</v>
      </c>
      <c r="L5" s="110">
        <f>IF('CALENDARIO 2026'!D22="G",1,0)</f>
        <v>1</v>
      </c>
    </row>
    <row r="6" spans="2:12" x14ac:dyDescent="0.25">
      <c r="B6" s="111">
        <v>4</v>
      </c>
      <c r="C6" s="112">
        <v>46335</v>
      </c>
      <c r="D6" s="112">
        <v>46341</v>
      </c>
      <c r="E6" s="113" t="str">
        <f>LEFT(IF('CALENDARIO 2026'!K18="G","JAVI · ","")&amp;IF('CALENDARIO 2026'!K19="G","JOSE · ","")&amp;IF('CALENDARIO 2026'!K20="G","JOSE LUIS · ","")&amp;IF('CALENDARIO 2026'!K21="G","ALBERTO · ","")&amp;IF('CALENDARIO 2026'!K22="G","MOLINERO · ",""),LEN(IF('CALENDARIO 2026'!K18="G","JAVI · ","")&amp;IF('CALENDARIO 2026'!K19="G","JOSE · ","")&amp;IF('CALENDARIO 2026'!K20="G","JOSE LUIS · ","")&amp;IF('CALENDARIO 2026'!K21="G","ALBERTO · ","")&amp;IF('CALENDARIO 2026'!K22="G","MOLINERO · ",""))-3)</f>
        <v>JAVI · JOSE LUIS</v>
      </c>
      <c r="F6" s="114"/>
      <c r="H6" s="110">
        <f>IF('CALENDARIO 2026'!K18="G",1,0)</f>
        <v>1</v>
      </c>
      <c r="I6" s="110">
        <f>IF('CALENDARIO 2026'!K19="G",1,0)</f>
        <v>0</v>
      </c>
      <c r="J6" s="110">
        <f>IF('CALENDARIO 2026'!K20="G",1,0)</f>
        <v>1</v>
      </c>
      <c r="K6" s="110">
        <f>IF('CALENDARIO 2026'!K21="G",1,0)</f>
        <v>0</v>
      </c>
      <c r="L6" s="110">
        <f>IF('CALENDARIO 2026'!K22="G",1,0)</f>
        <v>0</v>
      </c>
    </row>
    <row r="7" spans="2:12" x14ac:dyDescent="0.25">
      <c r="B7" s="106">
        <v>5</v>
      </c>
      <c r="C7" s="107">
        <v>46342</v>
      </c>
      <c r="D7" s="107">
        <v>46348</v>
      </c>
      <c r="E7" s="108" t="str">
        <f>LEFT(IF('CALENDARIO 2026'!R18="G","JAVI · ","")&amp;IF('CALENDARIO 2026'!R19="G","JOSE · ","")&amp;IF('CALENDARIO 2026'!R20="G","JOSE LUIS · ","")&amp;IF('CALENDARIO 2026'!R21="G","ALBERTO · ","")&amp;IF('CALENDARIO 2026'!R22="G","MOLINERO · ",""),LEN(IF('CALENDARIO 2026'!R18="G","JAVI · ","")&amp;IF('CALENDARIO 2026'!R19="G","JOSE · ","")&amp;IF('CALENDARIO 2026'!R20="G","JOSE LUIS · ","")&amp;IF('CALENDARIO 2026'!R21="G","ALBERTO · ","")&amp;IF('CALENDARIO 2026'!R22="G","MOLINERO · ",""))-3)</f>
        <v>JOSE · MOLINERO</v>
      </c>
      <c r="F7" s="109"/>
      <c r="H7" s="110">
        <f>IF('CALENDARIO 2026'!R18="G",1,0)</f>
        <v>0</v>
      </c>
      <c r="I7" s="110">
        <f>IF('CALENDARIO 2026'!R19="G",1,0)</f>
        <v>1</v>
      </c>
      <c r="J7" s="110">
        <f>IF('CALENDARIO 2026'!R20="G",1,0)</f>
        <v>0</v>
      </c>
      <c r="K7" s="110">
        <f>IF('CALENDARIO 2026'!R21="G",1,0)</f>
        <v>0</v>
      </c>
      <c r="L7" s="110">
        <f>IF('CALENDARIO 2026'!R22="G",1,0)</f>
        <v>1</v>
      </c>
    </row>
    <row r="8" spans="2:12" x14ac:dyDescent="0.25">
      <c r="B8" s="111">
        <v>6</v>
      </c>
      <c r="C8" s="112">
        <v>46349</v>
      </c>
      <c r="D8" s="112">
        <v>46355</v>
      </c>
      <c r="E8" s="113" t="str">
        <f>LEFT(IF('CALENDARIO 2026'!Y18="G","JAVI · ","")&amp;IF('CALENDARIO 2026'!Y19="G","JOSE · ","")&amp;IF('CALENDARIO 2026'!Y20="G","JOSE LUIS · ","")&amp;IF('CALENDARIO 2026'!Y21="G","ALBERTO · ","")&amp;IF('CALENDARIO 2026'!Y22="G","MOLINERO · ",""),LEN(IF('CALENDARIO 2026'!Y18="G","JAVI · ","")&amp;IF('CALENDARIO 2026'!Y19="G","JOSE · ","")&amp;IF('CALENDARIO 2026'!Y20="G","JOSE LUIS · ","")&amp;IF('CALENDARIO 2026'!Y21="G","ALBERTO · ","")&amp;IF('CALENDARIO 2026'!Y22="G","MOLINERO · ",""))-3)</f>
        <v>JAVI · ALBERTO</v>
      </c>
      <c r="F8" s="114"/>
      <c r="H8" s="110">
        <f>IF('CALENDARIO 2026'!Y18="G",1,0)</f>
        <v>1</v>
      </c>
      <c r="I8" s="110">
        <f>IF('CALENDARIO 2026'!Y19="G",1,0)</f>
        <v>0</v>
      </c>
      <c r="J8" s="110">
        <f>IF('CALENDARIO 2026'!Y20="G",1,0)</f>
        <v>0</v>
      </c>
      <c r="K8" s="110">
        <f>IF('CALENDARIO 2026'!Y21="G",1,0)</f>
        <v>1</v>
      </c>
      <c r="L8" s="110">
        <f>IF('CALENDARIO 2026'!Y22="G",1,0)</f>
        <v>0</v>
      </c>
    </row>
    <row r="9" spans="2:12" x14ac:dyDescent="0.25">
      <c r="B9" s="106">
        <v>7</v>
      </c>
      <c r="C9" s="107">
        <v>46356</v>
      </c>
      <c r="D9" s="107">
        <v>46362</v>
      </c>
      <c r="E9" s="108" t="str">
        <f>LEFT(IF('CALENDARIO 2026'!AF18="G","JAVI · ","")&amp;IF('CALENDARIO 2026'!AF19="G","JOSE · ","")&amp;IF('CALENDARIO 2026'!AF20="G","JOSE LUIS · ","")&amp;IF('CALENDARIO 2026'!AF21="G","ALBERTO · ","")&amp;IF('CALENDARIO 2026'!AF22="G","MOLINERO · ",""),LEN(IF('CALENDARIO 2026'!AF18="G","JAVI · ","")&amp;IF('CALENDARIO 2026'!AF19="G","JOSE · ","")&amp;IF('CALENDARIO 2026'!AF20="G","JOSE LUIS · ","")&amp;IF('CALENDARIO 2026'!AF21="G","ALBERTO · ","")&amp;IF('CALENDARIO 2026'!AF22="G","MOLINERO · ",""))-3)</f>
        <v>JOSE · JOSE LUIS</v>
      </c>
      <c r="F9" s="109"/>
      <c r="H9" s="110">
        <f>IF('CALENDARIO 2026'!AF18="G",1,0)</f>
        <v>0</v>
      </c>
      <c r="I9" s="110">
        <f>IF('CALENDARIO 2026'!AF19="G",1,0)</f>
        <v>1</v>
      </c>
      <c r="J9" s="110">
        <f>IF('CALENDARIO 2026'!AF20="G",1,0)</f>
        <v>1</v>
      </c>
      <c r="K9" s="110">
        <f>IF('CALENDARIO 2026'!AF21="G",1,0)</f>
        <v>0</v>
      </c>
      <c r="L9" s="110">
        <f>IF('CALENDARIO 2026'!AF22="G",1,0)</f>
        <v>0</v>
      </c>
    </row>
    <row r="10" spans="2:12" x14ac:dyDescent="0.25">
      <c r="B10" s="115">
        <v>8</v>
      </c>
      <c r="C10" s="116">
        <v>46363</v>
      </c>
      <c r="D10" s="116">
        <v>46369</v>
      </c>
      <c r="E10" s="117" t="str">
        <f>LEFT(IF('CALENDARIO 2026'!I27="G","JAVI · ","")&amp;IF('CALENDARIO 2026'!I28="G","JOSE · ","")&amp;IF('CALENDARIO 2026'!I29="G","JOSE LUIS · ","")&amp;IF('CALENDARIO 2026'!I30="G","ALBERTO · ","")&amp;IF('CALENDARIO 2026'!I31="G","MOLINERO · ",""),LEN(IF('CALENDARIO 2026'!I27="G","JAVI · ","")&amp;IF('CALENDARIO 2026'!I28="G","JOSE · ","")&amp;IF('CALENDARIO 2026'!I29="G","JOSE LUIS · ","")&amp;IF('CALENDARIO 2026'!I30="G","ALBERTO · ","")&amp;IF('CALENDARIO 2026'!I31="G","MOLINERO · ",""))-3)</f>
        <v>ALBERTO · MOLINERO</v>
      </c>
      <c r="F10" s="118" t="s">
        <v>136</v>
      </c>
      <c r="H10" s="110">
        <f>IF('CALENDARIO 2026'!I27="G",1,0)</f>
        <v>0</v>
      </c>
      <c r="I10" s="110">
        <f>IF('CALENDARIO 2026'!I28="G",1,0)</f>
        <v>0</v>
      </c>
      <c r="J10" s="110">
        <f>IF('CALENDARIO 2026'!I29="G",1,0)</f>
        <v>0</v>
      </c>
      <c r="K10" s="110">
        <f>IF('CALENDARIO 2026'!I30="G",1,0)</f>
        <v>1</v>
      </c>
      <c r="L10" s="110">
        <f>IF('CALENDARIO 2026'!I31="G",1,0)</f>
        <v>1</v>
      </c>
    </row>
    <row r="11" spans="2:12" x14ac:dyDescent="0.25">
      <c r="B11" s="106">
        <v>9</v>
      </c>
      <c r="C11" s="107">
        <v>46370</v>
      </c>
      <c r="D11" s="107">
        <v>46376</v>
      </c>
      <c r="E11" s="108" t="str">
        <f>LEFT(IF('CALENDARIO 2026'!P27="G","JAVI · ","")&amp;IF('CALENDARIO 2026'!P28="G","JOSE · ","")&amp;IF('CALENDARIO 2026'!P29="G","JOSE LUIS · ","")&amp;IF('CALENDARIO 2026'!P30="G","ALBERTO · ","")&amp;IF('CALENDARIO 2026'!P31="G","MOLINERO · ",""),LEN(IF('CALENDARIO 2026'!P27="G","JAVI · ","")&amp;IF('CALENDARIO 2026'!P28="G","JOSE · ","")&amp;IF('CALENDARIO 2026'!P29="G","JOSE LUIS · ","")&amp;IF('CALENDARIO 2026'!P30="G","ALBERTO · ","")&amp;IF('CALENDARIO 2026'!P31="G","MOLINERO · ",""))-3)</f>
        <v>JAVI · JOSE LUIS</v>
      </c>
      <c r="F11" s="109"/>
      <c r="H11" s="110">
        <f>IF('CALENDARIO 2026'!P27="G",1,0)</f>
        <v>1</v>
      </c>
      <c r="I11" s="110">
        <f>IF('CALENDARIO 2026'!P28="G",1,0)</f>
        <v>0</v>
      </c>
      <c r="J11" s="110">
        <f>IF('CALENDARIO 2026'!P29="G",1,0)</f>
        <v>1</v>
      </c>
      <c r="K11" s="110">
        <f>IF('CALENDARIO 2026'!P30="G",1,0)</f>
        <v>0</v>
      </c>
      <c r="L11" s="110">
        <f>IF('CALENDARIO 2026'!P31="G",1,0)</f>
        <v>0</v>
      </c>
    </row>
    <row r="12" spans="2:12" x14ac:dyDescent="0.25">
      <c r="B12" s="115">
        <v>10</v>
      </c>
      <c r="C12" s="116">
        <v>46377</v>
      </c>
      <c r="D12" s="116">
        <v>46383</v>
      </c>
      <c r="E12" s="117" t="str">
        <f>LEFT(IF('CALENDARIO 2026'!W27="G","JAVI · ","")&amp;IF('CALENDARIO 2026'!W28="G","JOSE · ","")&amp;IF('CALENDARIO 2026'!W29="G","JOSE LUIS · ","")&amp;IF('CALENDARIO 2026'!W30="G","ALBERTO · ","")&amp;IF('CALENDARIO 2026'!W31="G","MOLINERO · ",""),LEN(IF('CALENDARIO 2026'!W27="G","JAVI · ","")&amp;IF('CALENDARIO 2026'!W28="G","JOSE · ","")&amp;IF('CALENDARIO 2026'!W29="G","JOSE LUIS · ","")&amp;IF('CALENDARIO 2026'!W30="G","ALBERTO · ","")&amp;IF('CALENDARIO 2026'!W31="G","MOLINERO · ",""))-3)</f>
        <v>JOSE · MOLINERO</v>
      </c>
      <c r="F12" s="118" t="s">
        <v>137</v>
      </c>
      <c r="H12" s="110">
        <f>IF('CALENDARIO 2026'!W27="G",1,0)</f>
        <v>0</v>
      </c>
      <c r="I12" s="110">
        <f>IF('CALENDARIO 2026'!W28="G",1,0)</f>
        <v>1</v>
      </c>
      <c r="J12" s="110">
        <f>IF('CALENDARIO 2026'!W29="G",1,0)</f>
        <v>0</v>
      </c>
      <c r="K12" s="110">
        <f>IF('CALENDARIO 2026'!W30="G",1,0)</f>
        <v>0</v>
      </c>
      <c r="L12" s="110">
        <f>IF('CALENDARIO 2026'!W31="G",1,0)</f>
        <v>1</v>
      </c>
    </row>
    <row r="13" spans="2:12" x14ac:dyDescent="0.25">
      <c r="B13" s="115">
        <v>11</v>
      </c>
      <c r="C13" s="116">
        <v>46384</v>
      </c>
      <c r="D13" s="116">
        <v>46390</v>
      </c>
      <c r="E13" s="117" t="str">
        <f>LEFT(IF('CALENDARIO 2026'!AD27="G","JAVI · ","")&amp;IF('CALENDARIO 2026'!AD28="G","JOSE · ","")&amp;IF('CALENDARIO 2026'!AD29="G","JOSE LUIS · ","")&amp;IF('CALENDARIO 2026'!AD30="G","ALBERTO · ","")&amp;IF('CALENDARIO 2026'!AD31="G","MOLINERO · ",""),LEN(IF('CALENDARIO 2026'!AD27="G","JAVI · ","")&amp;IF('CALENDARIO 2026'!AD28="G","JOSE · ","")&amp;IF('CALENDARIO 2026'!AD29="G","JOSE LUIS · ","")&amp;IF('CALENDARIO 2026'!AD30="G","ALBERTO · ","")&amp;IF('CALENDARIO 2026'!AD31="G","MOLINERO · ",""))-3)</f>
        <v>JAVI · JOSE LUIS</v>
      </c>
      <c r="F13" s="118" t="s">
        <v>138</v>
      </c>
      <c r="H13" s="110">
        <f>IF('CALENDARIO 2026'!AD27="G",1,0)</f>
        <v>1</v>
      </c>
      <c r="I13" s="110">
        <f>IF('CALENDARIO 2026'!AD28="G",1,0)</f>
        <v>0</v>
      </c>
      <c r="J13" s="110">
        <f>IF('CALENDARIO 2026'!AD29="G",1,0)</f>
        <v>1</v>
      </c>
      <c r="K13" s="110">
        <f>IF('CALENDARIO 2026'!AD30="G",1,0)</f>
        <v>0</v>
      </c>
      <c r="L13" s="110">
        <f>IF('CALENDARIO 2026'!AD31="G",1,0)</f>
        <v>0</v>
      </c>
    </row>
    <row r="14" spans="2:12" x14ac:dyDescent="0.25">
      <c r="B14" s="115">
        <v>12</v>
      </c>
      <c r="C14" s="116">
        <v>46391</v>
      </c>
      <c r="D14" s="116">
        <v>46397</v>
      </c>
      <c r="E14" s="117" t="str">
        <f>LEFT(IF('CALENDARIO 2027'!F8="G","JAVI · ","")&amp;IF('CALENDARIO 2027'!F9="G","JOSE · ","")&amp;IF('CALENDARIO 2027'!F10="G","JOSE LUIS · ","")&amp;IF('CALENDARIO 2027'!F11="G","ALBERTO · ","")&amp;IF('CALENDARIO 2027'!F12="G","MOLINERO · ",""),LEN(IF('CALENDARIO 2027'!F8="G","JAVI · ","")&amp;IF('CALENDARIO 2027'!F9="G","JOSE · ","")&amp;IF('CALENDARIO 2027'!F10="G","JOSE LUIS · ","")&amp;IF('CALENDARIO 2027'!F11="G","ALBERTO · ","")&amp;IF('CALENDARIO 2027'!F12="G","MOLINERO · ",""))-3)</f>
        <v>JOSE · ALBERTO</v>
      </c>
      <c r="F14" s="118" t="s">
        <v>139</v>
      </c>
      <c r="H14" s="110">
        <f>IF('CALENDARIO 2027'!F8="G",1,0)</f>
        <v>0</v>
      </c>
      <c r="I14" s="110">
        <f>IF('CALENDARIO 2027'!F9="G",1,0)</f>
        <v>1</v>
      </c>
      <c r="J14" s="110">
        <f>IF('CALENDARIO 2027'!F10="G",1,0)</f>
        <v>0</v>
      </c>
      <c r="K14" s="110">
        <f>IF('CALENDARIO 2027'!F11="G",1,0)</f>
        <v>1</v>
      </c>
      <c r="L14" s="110">
        <f>IF('CALENDARIO 2027'!F12="G",1,0)</f>
        <v>0</v>
      </c>
    </row>
    <row r="15" spans="2:12" x14ac:dyDescent="0.25">
      <c r="B15" s="106">
        <v>13</v>
      </c>
      <c r="C15" s="107">
        <v>46398</v>
      </c>
      <c r="D15" s="107">
        <v>46404</v>
      </c>
      <c r="E15" s="108" t="str">
        <f>LEFT(IF('CALENDARIO 2027'!M8="G","JAVI · ","")&amp;IF('CALENDARIO 2027'!M9="G","JOSE · ","")&amp;IF('CALENDARIO 2027'!M10="G","JOSE LUIS · ","")&amp;IF('CALENDARIO 2027'!M11="G","ALBERTO · ","")&amp;IF('CALENDARIO 2027'!M12="G","MOLINERO · ",""),LEN(IF('CALENDARIO 2027'!M8="G","JAVI · ","")&amp;IF('CALENDARIO 2027'!M9="G","JOSE · ","")&amp;IF('CALENDARIO 2027'!M10="G","JOSE LUIS · ","")&amp;IF('CALENDARIO 2027'!M11="G","ALBERTO · ","")&amp;IF('CALENDARIO 2027'!M12="G","MOLINERO · ",""))-3)</f>
        <v>JAVI · MOLINERO</v>
      </c>
      <c r="F15" s="109"/>
      <c r="H15" s="110">
        <f>IF('CALENDARIO 2027'!M8="G",1,0)</f>
        <v>1</v>
      </c>
      <c r="I15" s="110">
        <f>IF('CALENDARIO 2027'!M9="G",1,0)</f>
        <v>0</v>
      </c>
      <c r="J15" s="110">
        <f>IF('CALENDARIO 2027'!M10="G",1,0)</f>
        <v>0</v>
      </c>
      <c r="K15" s="110">
        <f>IF('CALENDARIO 2027'!M11="G",1,0)</f>
        <v>0</v>
      </c>
      <c r="L15" s="110">
        <f>IF('CALENDARIO 2027'!M12="G",1,0)</f>
        <v>1</v>
      </c>
    </row>
    <row r="16" spans="2:12" x14ac:dyDescent="0.25">
      <c r="B16" s="111">
        <v>14</v>
      </c>
      <c r="C16" s="112">
        <v>46405</v>
      </c>
      <c r="D16" s="112">
        <v>46411</v>
      </c>
      <c r="E16" s="113" t="str">
        <f>LEFT(IF('CALENDARIO 2027'!T8="G","JAVI · ","")&amp;IF('CALENDARIO 2027'!T9="G","JOSE · ","")&amp;IF('CALENDARIO 2027'!T10="G","JOSE LUIS · ","")&amp;IF('CALENDARIO 2027'!T11="G","ALBERTO · ","")&amp;IF('CALENDARIO 2027'!T12="G","MOLINERO · ",""),LEN(IF('CALENDARIO 2027'!T8="G","JAVI · ","")&amp;IF('CALENDARIO 2027'!T9="G","JOSE · ","")&amp;IF('CALENDARIO 2027'!T10="G","JOSE LUIS · ","")&amp;IF('CALENDARIO 2027'!T11="G","ALBERTO · ","")&amp;IF('CALENDARIO 2027'!T12="G","MOLINERO · ",""))-3)</f>
        <v>JOSE LUIS · ALBERTO</v>
      </c>
      <c r="F16" s="114"/>
      <c r="H16" s="110">
        <f>IF('CALENDARIO 2027'!T8="G",1,0)</f>
        <v>0</v>
      </c>
      <c r="I16" s="110">
        <f>IF('CALENDARIO 2027'!T9="G",1,0)</f>
        <v>0</v>
      </c>
      <c r="J16" s="110">
        <f>IF('CALENDARIO 2027'!T10="G",1,0)</f>
        <v>1</v>
      </c>
      <c r="K16" s="110">
        <f>IF('CALENDARIO 2027'!T11="G",1,0)</f>
        <v>1</v>
      </c>
      <c r="L16" s="110">
        <f>IF('CALENDARIO 2027'!T12="G",1,0)</f>
        <v>0</v>
      </c>
    </row>
    <row r="17" spans="2:12" x14ac:dyDescent="0.25">
      <c r="B17" s="106">
        <v>15</v>
      </c>
      <c r="C17" s="107">
        <v>46412</v>
      </c>
      <c r="D17" s="107">
        <v>46418</v>
      </c>
      <c r="E17" s="108" t="str">
        <f>LEFT(IF('CALENDARIO 2027'!AA8="G","JAVI · ","")&amp;IF('CALENDARIO 2027'!AA9="G","JOSE · ","")&amp;IF('CALENDARIO 2027'!AA10="G","JOSE LUIS · ","")&amp;IF('CALENDARIO 2027'!AA11="G","ALBERTO · ","")&amp;IF('CALENDARIO 2027'!AA12="G","MOLINERO · ",""),LEN(IF('CALENDARIO 2027'!AA8="G","JAVI · ","")&amp;IF('CALENDARIO 2027'!AA9="G","JOSE · ","")&amp;IF('CALENDARIO 2027'!AA10="G","JOSE LUIS · ","")&amp;IF('CALENDARIO 2027'!AA11="G","ALBERTO · ","")&amp;IF('CALENDARIO 2027'!AA12="G","MOLINERO · ",""))-3)</f>
        <v>JOSE · MOLINERO</v>
      </c>
      <c r="F17" s="109"/>
      <c r="H17" s="110">
        <f>IF('CALENDARIO 2027'!AA8="G",1,0)</f>
        <v>0</v>
      </c>
      <c r="I17" s="110">
        <f>IF('CALENDARIO 2027'!AA9="G",1,0)</f>
        <v>1</v>
      </c>
      <c r="J17" s="110">
        <f>IF('CALENDARIO 2027'!AA10="G",1,0)</f>
        <v>0</v>
      </c>
      <c r="K17" s="110">
        <f>IF('CALENDARIO 2027'!AA11="G",1,0)</f>
        <v>0</v>
      </c>
      <c r="L17" s="110">
        <f>IF('CALENDARIO 2027'!AA12="G",1,0)</f>
        <v>1</v>
      </c>
    </row>
    <row r="18" spans="2:12" x14ac:dyDescent="0.25">
      <c r="B18" s="111">
        <v>16</v>
      </c>
      <c r="C18" s="112">
        <v>46419</v>
      </c>
      <c r="D18" s="112">
        <v>46425</v>
      </c>
      <c r="E18" s="113" t="str">
        <f>LEFT(IF('CALENDARIO 2027'!C17="G","JAVI · ","")&amp;IF('CALENDARIO 2027'!C18="G","JOSE · ","")&amp;IF('CALENDARIO 2027'!C19="G","JOSE LUIS · ","")&amp;IF('CALENDARIO 2027'!C20="G","ALBERTO · ","")&amp;IF('CALENDARIO 2027'!C21="G","MOLINERO · ",""),LEN(IF('CALENDARIO 2027'!C17="G","JAVI · ","")&amp;IF('CALENDARIO 2027'!C18="G","JOSE · ","")&amp;IF('CALENDARIO 2027'!C19="G","JOSE LUIS · ","")&amp;IF('CALENDARIO 2027'!C20="G","ALBERTO · ","")&amp;IF('CALENDARIO 2027'!C21="G","MOLINERO · ",""))-3)</f>
        <v>JAVI · ALBERTO</v>
      </c>
      <c r="F18" s="114"/>
      <c r="H18" s="110">
        <f>IF('CALENDARIO 2027'!C17="G",1,0)</f>
        <v>1</v>
      </c>
      <c r="I18" s="110">
        <f>IF('CALENDARIO 2027'!C18="G",1,0)</f>
        <v>0</v>
      </c>
      <c r="J18" s="110">
        <f>IF('CALENDARIO 2027'!C19="G",1,0)</f>
        <v>0</v>
      </c>
      <c r="K18" s="110">
        <f>IF('CALENDARIO 2027'!C20="G",1,0)</f>
        <v>1</v>
      </c>
      <c r="L18" s="110">
        <f>IF('CALENDARIO 2027'!C21="G",1,0)</f>
        <v>0</v>
      </c>
    </row>
    <row r="19" spans="2:12" x14ac:dyDescent="0.25">
      <c r="B19" s="106">
        <v>17</v>
      </c>
      <c r="C19" s="107">
        <v>46426</v>
      </c>
      <c r="D19" s="107">
        <v>46432</v>
      </c>
      <c r="E19" s="108" t="str">
        <f>LEFT(IF('CALENDARIO 2027'!J17="G","JAVI · ","")&amp;IF('CALENDARIO 2027'!J18="G","JOSE · ","")&amp;IF('CALENDARIO 2027'!J19="G","JOSE LUIS · ","")&amp;IF('CALENDARIO 2027'!J20="G","ALBERTO · ","")&amp;IF('CALENDARIO 2027'!J21="G","MOLINERO · ",""),LEN(IF('CALENDARIO 2027'!J17="G","JAVI · ","")&amp;IF('CALENDARIO 2027'!J18="G","JOSE · ","")&amp;IF('CALENDARIO 2027'!J19="G","JOSE LUIS · ","")&amp;IF('CALENDARIO 2027'!J20="G","ALBERTO · ","")&amp;IF('CALENDARIO 2027'!J21="G","MOLINERO · ",""))-3)</f>
        <v>JOSE · JOSE LUIS</v>
      </c>
      <c r="F19" s="109"/>
      <c r="H19" s="110">
        <f>IF('CALENDARIO 2027'!J17="G",1,0)</f>
        <v>0</v>
      </c>
      <c r="I19" s="110">
        <f>IF('CALENDARIO 2027'!J18="G",1,0)</f>
        <v>1</v>
      </c>
      <c r="J19" s="110">
        <f>IF('CALENDARIO 2027'!J19="G",1,0)</f>
        <v>1</v>
      </c>
      <c r="K19" s="110">
        <f>IF('CALENDARIO 2027'!J20="G",1,0)</f>
        <v>0</v>
      </c>
      <c r="L19" s="110">
        <f>IF('CALENDARIO 2027'!J21="G",1,0)</f>
        <v>0</v>
      </c>
    </row>
    <row r="20" spans="2:12" x14ac:dyDescent="0.25">
      <c r="B20" s="111">
        <v>18</v>
      </c>
      <c r="C20" s="112">
        <v>46433</v>
      </c>
      <c r="D20" s="112">
        <v>46439</v>
      </c>
      <c r="E20" s="113" t="str">
        <f>LEFT(IF('CALENDARIO 2027'!Q17="G","JAVI · ","")&amp;IF('CALENDARIO 2027'!Q18="G","JOSE · ","")&amp;IF('CALENDARIO 2027'!Q19="G","JOSE LUIS · ","")&amp;IF('CALENDARIO 2027'!Q20="G","ALBERTO · ","")&amp;IF('CALENDARIO 2027'!Q21="G","MOLINERO · ",""),LEN(IF('CALENDARIO 2027'!Q17="G","JAVI · ","")&amp;IF('CALENDARIO 2027'!Q18="G","JOSE · ","")&amp;IF('CALENDARIO 2027'!Q19="G","JOSE LUIS · ","")&amp;IF('CALENDARIO 2027'!Q20="G","ALBERTO · ","")&amp;IF('CALENDARIO 2027'!Q21="G","MOLINERO · ",""))-3)</f>
        <v>JAVI · MOLINERO</v>
      </c>
      <c r="F20" s="114"/>
      <c r="H20" s="110">
        <f>IF('CALENDARIO 2027'!Q17="G",1,0)</f>
        <v>1</v>
      </c>
      <c r="I20" s="110">
        <f>IF('CALENDARIO 2027'!Q18="G",1,0)</f>
        <v>0</v>
      </c>
      <c r="J20" s="110">
        <f>IF('CALENDARIO 2027'!Q19="G",1,0)</f>
        <v>0</v>
      </c>
      <c r="K20" s="110">
        <f>IF('CALENDARIO 2027'!Q20="G",1,0)</f>
        <v>0</v>
      </c>
      <c r="L20" s="110">
        <f>IF('CALENDARIO 2027'!Q21="G",1,0)</f>
        <v>1</v>
      </c>
    </row>
    <row r="21" spans="2:12" x14ac:dyDescent="0.25">
      <c r="B21" s="106">
        <v>19</v>
      </c>
      <c r="C21" s="107">
        <v>46440</v>
      </c>
      <c r="D21" s="107">
        <v>46446</v>
      </c>
      <c r="E21" s="108" t="str">
        <f>LEFT(IF('CALENDARIO 2027'!X17="G","JAVI · ","")&amp;IF('CALENDARIO 2027'!X18="G","JOSE · ","")&amp;IF('CALENDARIO 2027'!X19="G","JOSE LUIS · ","")&amp;IF('CALENDARIO 2027'!X20="G","ALBERTO · ","")&amp;IF('CALENDARIO 2027'!X21="G","MOLINERO · ",""),LEN(IF('CALENDARIO 2027'!X17="G","JAVI · ","")&amp;IF('CALENDARIO 2027'!X18="G","JOSE · ","")&amp;IF('CALENDARIO 2027'!X19="G","JOSE LUIS · ","")&amp;IF('CALENDARIO 2027'!X20="G","ALBERTO · ","")&amp;IF('CALENDARIO 2027'!X21="G","MOLINERO · ",""))-3)</f>
        <v>JOSE LUIS · ALBERTO</v>
      </c>
      <c r="F21" s="109"/>
      <c r="H21" s="110">
        <f>IF('CALENDARIO 2027'!X17="G",1,0)</f>
        <v>0</v>
      </c>
      <c r="I21" s="110">
        <f>IF('CALENDARIO 2027'!X18="G",1,0)</f>
        <v>0</v>
      </c>
      <c r="J21" s="110">
        <f>IF('CALENDARIO 2027'!X19="G",1,0)</f>
        <v>1</v>
      </c>
      <c r="K21" s="110">
        <f>IF('CALENDARIO 2027'!X20="G",1,0)</f>
        <v>1</v>
      </c>
      <c r="L21" s="110">
        <f>IF('CALENDARIO 2027'!X21="G",1,0)</f>
        <v>0</v>
      </c>
    </row>
    <row r="22" spans="2:12" x14ac:dyDescent="0.25">
      <c r="B22" s="115">
        <v>20</v>
      </c>
      <c r="C22" s="116">
        <v>46447</v>
      </c>
      <c r="D22" s="116">
        <v>46453</v>
      </c>
      <c r="E22" s="117" t="str">
        <f>LEFT(IF('CALENDARIO 2027'!C26="G","JAVI · ","")&amp;IF('CALENDARIO 2027'!C27="G","JOSE · ","")&amp;IF('CALENDARIO 2027'!C28="G","JOSE LUIS · ","")&amp;IF('CALENDARIO 2027'!C29="G","ALBERTO · ","")&amp;IF('CALENDARIO 2027'!C30="G","MOLINERO · ",""),LEN(IF('CALENDARIO 2027'!C26="G","JAVI · ","")&amp;IF('CALENDARIO 2027'!C27="G","JOSE · ","")&amp;IF('CALENDARIO 2027'!C28="G","JOSE LUIS · ","")&amp;IF('CALENDARIO 2027'!C29="G","ALBERTO · ","")&amp;IF('CALENDARIO 2027'!C30="G","MOLINERO · ",""))-3)</f>
        <v>JAVI · JOSE</v>
      </c>
      <c r="F22" s="118" t="s">
        <v>140</v>
      </c>
      <c r="H22" s="110">
        <f>IF('CALENDARIO 2027'!C26="G",1,0)</f>
        <v>1</v>
      </c>
      <c r="I22" s="110">
        <f>IF('CALENDARIO 2027'!C27="G",1,0)</f>
        <v>1</v>
      </c>
      <c r="J22" s="110">
        <f>IF('CALENDARIO 2027'!C28="G",1,0)</f>
        <v>0</v>
      </c>
      <c r="K22" s="110">
        <f>IF('CALENDARIO 2027'!C29="G",1,0)</f>
        <v>0</v>
      </c>
      <c r="L22" s="110">
        <f>IF('CALENDARIO 2027'!C30="G",1,0)</f>
        <v>0</v>
      </c>
    </row>
    <row r="23" spans="2:12" x14ac:dyDescent="0.25">
      <c r="B23" s="106">
        <v>21</v>
      </c>
      <c r="C23" s="107">
        <v>46454</v>
      </c>
      <c r="D23" s="107">
        <v>46460</v>
      </c>
      <c r="E23" s="108" t="str">
        <f>LEFT(IF('CALENDARIO 2027'!J26="G","JAVI · ","")&amp;IF('CALENDARIO 2027'!J27="G","JOSE · ","")&amp;IF('CALENDARIO 2027'!J28="G","JOSE LUIS · ","")&amp;IF('CALENDARIO 2027'!J29="G","ALBERTO · ","")&amp;IF('CALENDARIO 2027'!J30="G","MOLINERO · ",""),LEN(IF('CALENDARIO 2027'!J26="G","JAVI · ","")&amp;IF('CALENDARIO 2027'!J27="G","JOSE · ","")&amp;IF('CALENDARIO 2027'!J28="G","JOSE LUIS · ","")&amp;IF('CALENDARIO 2027'!J29="G","ALBERTO · ","")&amp;IF('CALENDARIO 2027'!J30="G","MOLINERO · ",""))-3)</f>
        <v>JOSE LUIS · MOLINERO</v>
      </c>
      <c r="F23" s="109"/>
      <c r="H23" s="110">
        <f>IF('CALENDARIO 2027'!J26="G",1,0)</f>
        <v>0</v>
      </c>
      <c r="I23" s="110">
        <f>IF('CALENDARIO 2027'!J27="G",1,0)</f>
        <v>0</v>
      </c>
      <c r="J23" s="110">
        <f>IF('CALENDARIO 2027'!J28="G",1,0)</f>
        <v>1</v>
      </c>
      <c r="K23" s="110">
        <f>IF('CALENDARIO 2027'!J29="G",1,0)</f>
        <v>0</v>
      </c>
      <c r="L23" s="110">
        <f>IF('CALENDARIO 2027'!J30="G",1,0)</f>
        <v>1</v>
      </c>
    </row>
    <row r="24" spans="2:12" x14ac:dyDescent="0.25">
      <c r="B24" s="111">
        <v>22</v>
      </c>
      <c r="C24" s="112">
        <v>46461</v>
      </c>
      <c r="D24" s="112">
        <v>46467</v>
      </c>
      <c r="E24" s="113" t="str">
        <f>LEFT(IF('CALENDARIO 2027'!Q26="G","JAVI · ","")&amp;IF('CALENDARIO 2027'!Q27="G","JOSE · ","")&amp;IF('CALENDARIO 2027'!Q28="G","JOSE LUIS · ","")&amp;IF('CALENDARIO 2027'!Q29="G","ALBERTO · ","")&amp;IF('CALENDARIO 2027'!Q30="G","MOLINERO · ",""),LEN(IF('CALENDARIO 2027'!Q26="G","JAVI · ","")&amp;IF('CALENDARIO 2027'!Q27="G","JOSE · ","")&amp;IF('CALENDARIO 2027'!Q28="G","JOSE LUIS · ","")&amp;IF('CALENDARIO 2027'!Q29="G","ALBERTO · ","")&amp;IF('CALENDARIO 2027'!Q30="G","MOLINERO · ",""))-3)</f>
        <v>JOSE · ALBERTO</v>
      </c>
      <c r="F24" s="114"/>
      <c r="H24" s="110">
        <f>IF('CALENDARIO 2027'!Q26="G",1,0)</f>
        <v>0</v>
      </c>
      <c r="I24" s="110">
        <f>IF('CALENDARIO 2027'!Q27="G",1,0)</f>
        <v>1</v>
      </c>
      <c r="J24" s="110">
        <f>IF('CALENDARIO 2027'!Q28="G",1,0)</f>
        <v>0</v>
      </c>
      <c r="K24" s="110">
        <f>IF('CALENDARIO 2027'!Q29="G",1,0)</f>
        <v>1</v>
      </c>
      <c r="L24" s="110">
        <f>IF('CALENDARIO 2027'!Q30="G",1,0)</f>
        <v>0</v>
      </c>
    </row>
    <row r="25" spans="2:12" x14ac:dyDescent="0.25">
      <c r="B25" s="115">
        <v>23</v>
      </c>
      <c r="C25" s="116">
        <v>46468</v>
      </c>
      <c r="D25" s="116">
        <v>46474</v>
      </c>
      <c r="E25" s="117" t="str">
        <f>LEFT(IF('CALENDARIO 2027'!X26="G","JAVI · ","")&amp;IF('CALENDARIO 2027'!X27="G","JOSE · ","")&amp;IF('CALENDARIO 2027'!X28="G","JOSE LUIS · ","")&amp;IF('CALENDARIO 2027'!X29="G","ALBERTO · ","")&amp;IF('CALENDARIO 2027'!X30="G","MOLINERO · ",""),LEN(IF('CALENDARIO 2027'!X26="G","JAVI · ","")&amp;IF('CALENDARIO 2027'!X27="G","JOSE · ","")&amp;IF('CALENDARIO 2027'!X28="G","JOSE LUIS · ","")&amp;IF('CALENDARIO 2027'!X29="G","ALBERTO · ","")&amp;IF('CALENDARIO 2027'!X30="G","MOLINERO · ",""))-3)</f>
        <v>JAVI · MOLINERO</v>
      </c>
      <c r="F25" s="118" t="s">
        <v>141</v>
      </c>
      <c r="H25" s="110">
        <f>IF('CALENDARIO 2027'!X26="G",1,0)</f>
        <v>1</v>
      </c>
      <c r="I25" s="110">
        <f>IF('CALENDARIO 2027'!X27="G",1,0)</f>
        <v>0</v>
      </c>
      <c r="J25" s="110">
        <f>IF('CALENDARIO 2027'!X28="G",1,0)</f>
        <v>0</v>
      </c>
      <c r="K25" s="110">
        <f>IF('CALENDARIO 2027'!X29="G",1,0)</f>
        <v>0</v>
      </c>
      <c r="L25" s="110">
        <f>IF('CALENDARIO 2027'!X30="G",1,0)</f>
        <v>1</v>
      </c>
    </row>
    <row r="26" spans="2:12" x14ac:dyDescent="0.25">
      <c r="B26" s="111">
        <v>24</v>
      </c>
      <c r="C26" s="112">
        <v>46475</v>
      </c>
      <c r="D26" s="112">
        <v>46481</v>
      </c>
      <c r="E26" s="113" t="str">
        <f>LEFT(IF('CALENDARIO 2027'!AE26="G","JAVI · ","")&amp;IF('CALENDARIO 2027'!AE27="G","JOSE · ","")&amp;IF('CALENDARIO 2027'!AE28="G","JOSE LUIS · ","")&amp;IF('CALENDARIO 2027'!AE29="G","ALBERTO · ","")&amp;IF('CALENDARIO 2027'!AE30="G","MOLINERO · ",""),LEN(IF('CALENDARIO 2027'!AE26="G","JAVI · ","")&amp;IF('CALENDARIO 2027'!AE27="G","JOSE · ","")&amp;IF('CALENDARIO 2027'!AE28="G","JOSE LUIS · ","")&amp;IF('CALENDARIO 2027'!AE29="G","ALBERTO · ","")&amp;IF('CALENDARIO 2027'!AE30="G","MOLINERO · ",""))-3)</f>
        <v>JOSE · JOSE LUIS</v>
      </c>
      <c r="F26" s="114"/>
      <c r="H26" s="110">
        <f>IF('CALENDARIO 2027'!AE26="G",1,0)</f>
        <v>0</v>
      </c>
      <c r="I26" s="110">
        <f>IF('CALENDARIO 2027'!AE27="G",1,0)</f>
        <v>1</v>
      </c>
      <c r="J26" s="110">
        <f>IF('CALENDARIO 2027'!AE28="G",1,0)</f>
        <v>1</v>
      </c>
      <c r="K26" s="110">
        <f>IF('CALENDARIO 2027'!AE29="G",1,0)</f>
        <v>0</v>
      </c>
      <c r="L26" s="110">
        <f>IF('CALENDARIO 2027'!AE30="G",1,0)</f>
        <v>0</v>
      </c>
    </row>
    <row r="27" spans="2:12" x14ac:dyDescent="0.25">
      <c r="B27" s="106">
        <v>25</v>
      </c>
      <c r="C27" s="107">
        <v>46482</v>
      </c>
      <c r="D27" s="107">
        <v>46488</v>
      </c>
      <c r="E27" s="108" t="str">
        <f>LEFT(IF('CALENDARIO 2027'!G35="G","JAVI · ","")&amp;IF('CALENDARIO 2027'!G36="G","JOSE · ","")&amp;IF('CALENDARIO 2027'!G37="G","JOSE LUIS · ","")&amp;IF('CALENDARIO 2027'!G38="G","ALBERTO · ","")&amp;IF('CALENDARIO 2027'!G39="G","MOLINERO · ",""),LEN(IF('CALENDARIO 2027'!G35="G","JAVI · ","")&amp;IF('CALENDARIO 2027'!G36="G","JOSE · ","")&amp;IF('CALENDARIO 2027'!G37="G","JOSE LUIS · ","")&amp;IF('CALENDARIO 2027'!G38="G","ALBERTO · ","")&amp;IF('CALENDARIO 2027'!G39="G","MOLINERO · ",""))-3)</f>
        <v>ALBERTO · MOLINERO</v>
      </c>
      <c r="F27" s="109"/>
      <c r="H27" s="110">
        <f>IF('CALENDARIO 2027'!G35="G",1,0)</f>
        <v>0</v>
      </c>
      <c r="I27" s="110">
        <f>IF('CALENDARIO 2027'!G36="G",1,0)</f>
        <v>0</v>
      </c>
      <c r="J27" s="110">
        <f>IF('CALENDARIO 2027'!G37="G",1,0)</f>
        <v>0</v>
      </c>
      <c r="K27" s="110">
        <f>IF('CALENDARIO 2027'!G38="G",1,0)</f>
        <v>1</v>
      </c>
      <c r="L27" s="110">
        <f>IF('CALENDARIO 2027'!G39="G",1,0)</f>
        <v>1</v>
      </c>
    </row>
    <row r="28" spans="2:12" x14ac:dyDescent="0.25">
      <c r="B28" s="115">
        <v>26</v>
      </c>
      <c r="C28" s="116">
        <v>46489</v>
      </c>
      <c r="D28" s="116">
        <v>46495</v>
      </c>
      <c r="E28" s="117" t="str">
        <f>LEFT(IF('CALENDARIO 2027'!N35="G","JAVI · ","")&amp;IF('CALENDARIO 2027'!N36="G","JOSE · ","")&amp;IF('CALENDARIO 2027'!N37="G","JOSE LUIS · ","")&amp;IF('CALENDARIO 2027'!N38="G","ALBERTO · ","")&amp;IF('CALENDARIO 2027'!N39="G","MOLINERO · ",""),LEN(IF('CALENDARIO 2027'!N35="G","JAVI · ","")&amp;IF('CALENDARIO 2027'!N36="G","JOSE · ","")&amp;IF('CALENDARIO 2027'!N37="G","JOSE LUIS · ","")&amp;IF('CALENDARIO 2027'!N38="G","ALBERTO · ","")&amp;IF('CALENDARIO 2027'!N39="G","MOLINERO · ",""))-3)</f>
        <v>JAVI · JOSE LUIS</v>
      </c>
      <c r="F28" s="118" t="s">
        <v>142</v>
      </c>
      <c r="H28" s="110">
        <f>IF('CALENDARIO 2027'!N35="G",1,0)</f>
        <v>1</v>
      </c>
      <c r="I28" s="110">
        <f>IF('CALENDARIO 2027'!N36="G",1,0)</f>
        <v>0</v>
      </c>
      <c r="J28" s="110">
        <f>IF('CALENDARIO 2027'!N37="G",1,0)</f>
        <v>1</v>
      </c>
      <c r="K28" s="110">
        <f>IF('CALENDARIO 2027'!N38="G",1,0)</f>
        <v>0</v>
      </c>
      <c r="L28" s="110">
        <f>IF('CALENDARIO 2027'!N39="G",1,0)</f>
        <v>0</v>
      </c>
    </row>
    <row r="29" spans="2:12" x14ac:dyDescent="0.25">
      <c r="B29" s="106">
        <v>27</v>
      </c>
      <c r="C29" s="107">
        <v>46496</v>
      </c>
      <c r="D29" s="107">
        <v>46502</v>
      </c>
      <c r="E29" s="108" t="str">
        <f>LEFT(IF('CALENDARIO 2027'!U35="G","JAVI · ","")&amp;IF('CALENDARIO 2027'!U36="G","JOSE · ","")&amp;IF('CALENDARIO 2027'!U37="G","JOSE LUIS · ","")&amp;IF('CALENDARIO 2027'!U38="G","ALBERTO · ","")&amp;IF('CALENDARIO 2027'!U39="G","MOLINERO · ",""),LEN(IF('CALENDARIO 2027'!U35="G","JAVI · ","")&amp;IF('CALENDARIO 2027'!U36="G","JOSE · ","")&amp;IF('CALENDARIO 2027'!U37="G","JOSE LUIS · ","")&amp;IF('CALENDARIO 2027'!U38="G","ALBERTO · ","")&amp;IF('CALENDARIO 2027'!U39="G","MOLINERO · ",""))-3)</f>
        <v>JOSE · ALBERTO</v>
      </c>
      <c r="F29" s="109"/>
      <c r="H29" s="110">
        <f>IF('CALENDARIO 2027'!U35="G",1,0)</f>
        <v>0</v>
      </c>
      <c r="I29" s="110">
        <f>IF('CALENDARIO 2027'!U36="G",1,0)</f>
        <v>1</v>
      </c>
      <c r="J29" s="110">
        <f>IF('CALENDARIO 2027'!U37="G",1,0)</f>
        <v>0</v>
      </c>
      <c r="K29" s="110">
        <f>IF('CALENDARIO 2027'!U38="G",1,0)</f>
        <v>1</v>
      </c>
      <c r="L29" s="110">
        <f>IF('CALENDARIO 2027'!U39="G",1,0)</f>
        <v>0</v>
      </c>
    </row>
    <row r="30" spans="2:12" x14ac:dyDescent="0.25">
      <c r="B30" s="115">
        <v>28</v>
      </c>
      <c r="C30" s="116">
        <v>46503</v>
      </c>
      <c r="D30" s="116">
        <v>46509</v>
      </c>
      <c r="E30" s="117" t="str">
        <f>LEFT(IF('CALENDARIO 2027'!AB35="G","JAVI · ","")&amp;IF('CALENDARIO 2027'!AB36="G","JOSE · ","")&amp;IF('CALENDARIO 2027'!AB37="G","JOSE LUIS · ","")&amp;IF('CALENDARIO 2027'!AB38="G","ALBERTO · ","")&amp;IF('CALENDARIO 2027'!AB39="G","MOLINERO · ",""),LEN(IF('CALENDARIO 2027'!AB35="G","JAVI · ","")&amp;IF('CALENDARIO 2027'!AB36="G","JOSE · ","")&amp;IF('CALENDARIO 2027'!AB37="G","JOSE LUIS · ","")&amp;IF('CALENDARIO 2027'!AB38="G","ALBERTO · ","")&amp;IF('CALENDARIO 2027'!AB39="G","MOLINERO · ",""))-3)</f>
        <v>JOSE LUIS · MOLINERO</v>
      </c>
      <c r="F30" s="118" t="s">
        <v>143</v>
      </c>
      <c r="H30" s="110">
        <f>IF('CALENDARIO 2027'!AB35="G",1,0)</f>
        <v>0</v>
      </c>
      <c r="I30" s="110">
        <f>IF('CALENDARIO 2027'!AB36="G",1,0)</f>
        <v>0</v>
      </c>
      <c r="J30" s="110">
        <f>IF('CALENDARIO 2027'!AB37="G",1,0)</f>
        <v>1</v>
      </c>
      <c r="K30" s="110">
        <f>IF('CALENDARIO 2027'!AB38="G",1,0)</f>
        <v>0</v>
      </c>
      <c r="L30" s="110">
        <f>IF('CALENDARIO 2027'!AB39="G",1,0)</f>
        <v>1</v>
      </c>
    </row>
    <row r="31" spans="2:12" x14ac:dyDescent="0.25">
      <c r="B31" s="106">
        <v>29</v>
      </c>
      <c r="C31" s="107">
        <v>46510</v>
      </c>
      <c r="D31" s="107">
        <v>46516</v>
      </c>
      <c r="E31" s="108" t="str">
        <f>LEFT(IF('CALENDARIO 2027'!E44="G","JAVI · ","")&amp;IF('CALENDARIO 2027'!E45="G","JOSE · ","")&amp;IF('CALENDARIO 2027'!E46="G","JOSE LUIS · ","")&amp;IF('CALENDARIO 2027'!E47="G","ALBERTO · ","")&amp;IF('CALENDARIO 2027'!E48="G","MOLINERO · ",""),LEN(IF('CALENDARIO 2027'!E44="G","JAVI · ","")&amp;IF('CALENDARIO 2027'!E45="G","JOSE · ","")&amp;IF('CALENDARIO 2027'!E46="G","JOSE LUIS · ","")&amp;IF('CALENDARIO 2027'!E47="G","ALBERTO · ","")&amp;IF('CALENDARIO 2027'!E48="G","MOLINERO · ",""))-3)</f>
        <v>JAVI · ALBERTO</v>
      </c>
      <c r="F31" s="109"/>
      <c r="H31" s="110">
        <f>IF('CALENDARIO 2027'!E44="G",1,0)</f>
        <v>1</v>
      </c>
      <c r="I31" s="110">
        <f>IF('CALENDARIO 2027'!E45="G",1,0)</f>
        <v>0</v>
      </c>
      <c r="J31" s="110">
        <f>IF('CALENDARIO 2027'!E46="G",1,0)</f>
        <v>0</v>
      </c>
      <c r="K31" s="110">
        <f>IF('CALENDARIO 2027'!E47="G",1,0)</f>
        <v>1</v>
      </c>
      <c r="L31" s="110">
        <f>IF('CALENDARIO 2027'!E48="G",1,0)</f>
        <v>0</v>
      </c>
    </row>
    <row r="32" spans="2:12" x14ac:dyDescent="0.25">
      <c r="B32" s="111">
        <v>30</v>
      </c>
      <c r="C32" s="112">
        <v>46517</v>
      </c>
      <c r="D32" s="112">
        <v>46523</v>
      </c>
      <c r="E32" s="113" t="str">
        <f>LEFT(IF('CALENDARIO 2027'!L44="G","JAVI · ","")&amp;IF('CALENDARIO 2027'!L45="G","JOSE · ","")&amp;IF('CALENDARIO 2027'!L46="G","JOSE LUIS · ","")&amp;IF('CALENDARIO 2027'!L47="G","ALBERTO · ","")&amp;IF('CALENDARIO 2027'!L48="G","MOLINERO · ",""),LEN(IF('CALENDARIO 2027'!L44="G","JAVI · ","")&amp;IF('CALENDARIO 2027'!L45="G","JOSE · ","")&amp;IF('CALENDARIO 2027'!L46="G","JOSE LUIS · ","")&amp;IF('CALENDARIO 2027'!L47="G","ALBERTO · ","")&amp;IF('CALENDARIO 2027'!L48="G","MOLINERO · ",""))-3)</f>
        <v>JOSE · MOLINERO</v>
      </c>
      <c r="F32" s="114"/>
      <c r="H32" s="110">
        <f>IF('CALENDARIO 2027'!L44="G",1,0)</f>
        <v>0</v>
      </c>
      <c r="I32" s="110">
        <f>IF('CALENDARIO 2027'!L45="G",1,0)</f>
        <v>1</v>
      </c>
      <c r="J32" s="110">
        <f>IF('CALENDARIO 2027'!L46="G",1,0)</f>
        <v>0</v>
      </c>
      <c r="K32" s="110">
        <f>IF('CALENDARIO 2027'!L47="G",1,0)</f>
        <v>0</v>
      </c>
      <c r="L32" s="110">
        <f>IF('CALENDARIO 2027'!L48="G",1,0)</f>
        <v>1</v>
      </c>
    </row>
    <row r="33" spans="2:12" x14ac:dyDescent="0.25">
      <c r="B33" s="106">
        <v>31</v>
      </c>
      <c r="C33" s="107">
        <v>46524</v>
      </c>
      <c r="D33" s="107">
        <v>46530</v>
      </c>
      <c r="E33" s="108" t="str">
        <f>LEFT(IF('CALENDARIO 2027'!S44="G","JAVI · ","")&amp;IF('CALENDARIO 2027'!S45="G","JOSE · ","")&amp;IF('CALENDARIO 2027'!S46="G","JOSE LUIS · ","")&amp;IF('CALENDARIO 2027'!S47="G","ALBERTO · ","")&amp;IF('CALENDARIO 2027'!S48="G","MOLINERO · ",""),LEN(IF('CALENDARIO 2027'!S44="G","JAVI · ","")&amp;IF('CALENDARIO 2027'!S45="G","JOSE · ","")&amp;IF('CALENDARIO 2027'!S46="G","JOSE LUIS · ","")&amp;IF('CALENDARIO 2027'!S47="G","ALBERTO · ","")&amp;IF('CALENDARIO 2027'!S48="G","MOLINERO · ",""))-3)</f>
        <v>JAVI · JOSE LUIS</v>
      </c>
      <c r="F33" s="109"/>
      <c r="H33" s="110">
        <f>IF('CALENDARIO 2027'!S44="G",1,0)</f>
        <v>1</v>
      </c>
      <c r="I33" s="110">
        <f>IF('CALENDARIO 2027'!S45="G",1,0)</f>
        <v>0</v>
      </c>
      <c r="J33" s="110">
        <f>IF('CALENDARIO 2027'!S46="G",1,0)</f>
        <v>1</v>
      </c>
      <c r="K33" s="110">
        <f>IF('CALENDARIO 2027'!S47="G",1,0)</f>
        <v>0</v>
      </c>
      <c r="L33" s="110">
        <f>IF('CALENDARIO 2027'!S48="G",1,0)</f>
        <v>0</v>
      </c>
    </row>
    <row r="34" spans="2:12" x14ac:dyDescent="0.25">
      <c r="B34" s="115">
        <v>32</v>
      </c>
      <c r="C34" s="116">
        <v>46531</v>
      </c>
      <c r="D34" s="116">
        <v>46537</v>
      </c>
      <c r="E34" s="117" t="str">
        <f>LEFT(IF('CALENDARIO 2027'!Z44="G","JAVI · ","")&amp;IF('CALENDARIO 2027'!Z45="G","JOSE · ","")&amp;IF('CALENDARIO 2027'!Z46="G","JOSE LUIS · ","")&amp;IF('CALENDARIO 2027'!Z47="G","ALBERTO · ","")&amp;IF('CALENDARIO 2027'!Z48="G","MOLINERO · ",""),LEN(IF('CALENDARIO 2027'!Z44="G","JAVI · ","")&amp;IF('CALENDARIO 2027'!Z45="G","JOSE · ","")&amp;IF('CALENDARIO 2027'!Z46="G","JOSE LUIS · ","")&amp;IF('CALENDARIO 2027'!Z47="G","ALBERTO · ","")&amp;IF('CALENDARIO 2027'!Z48="G","MOLINERO · ",""))-3)</f>
        <v>JOSE · ALBERTO</v>
      </c>
      <c r="F34" s="118" t="s">
        <v>144</v>
      </c>
      <c r="H34" s="110">
        <f>IF('CALENDARIO 2027'!Z44="G",1,0)</f>
        <v>0</v>
      </c>
      <c r="I34" s="110">
        <f>IF('CALENDARIO 2027'!Z45="G",1,0)</f>
        <v>1</v>
      </c>
      <c r="J34" s="110">
        <f>IF('CALENDARIO 2027'!Z46="G",1,0)</f>
        <v>0</v>
      </c>
      <c r="K34" s="110">
        <f>IF('CALENDARIO 2027'!Z47="G",1,0)</f>
        <v>1</v>
      </c>
      <c r="L34" s="110">
        <f>IF('CALENDARIO 2027'!Z48="G",1,0)</f>
        <v>0</v>
      </c>
    </row>
    <row r="35" spans="2:12" x14ac:dyDescent="0.25">
      <c r="B35" s="106">
        <v>33</v>
      </c>
      <c r="C35" s="107">
        <v>46538</v>
      </c>
      <c r="D35" s="107">
        <v>46544</v>
      </c>
      <c r="E35" s="108" t="str">
        <f>LEFT(IF('CALENDARIO 2027'!AG44="G","JAVI · ","")&amp;IF('CALENDARIO 2027'!AG45="G","JOSE · ","")&amp;IF('CALENDARIO 2027'!AG46="G","JOSE LUIS · ","")&amp;IF('CALENDARIO 2027'!AG47="G","ALBERTO · ","")&amp;IF('CALENDARIO 2027'!AG48="G","MOLINERO · ",""),LEN(IF('CALENDARIO 2027'!AG44="G","JAVI · ","")&amp;IF('CALENDARIO 2027'!AG45="G","JOSE · ","")&amp;IF('CALENDARIO 2027'!AG46="G","JOSE LUIS · ","")&amp;IF('CALENDARIO 2027'!AG47="G","ALBERTO · ","")&amp;IF('CALENDARIO 2027'!AG48="G","MOLINERO · ",""))-3)</f>
        <v>JOSE LUIS · MOLINERO</v>
      </c>
      <c r="F35" s="109"/>
      <c r="H35" s="110">
        <f>IF('CALENDARIO 2027'!AG44="G",1,0)</f>
        <v>0</v>
      </c>
      <c r="I35" s="110">
        <f>IF('CALENDARIO 2027'!AG45="G",1,0)</f>
        <v>0</v>
      </c>
      <c r="J35" s="110">
        <f>IF('CALENDARIO 2027'!AG46="G",1,0)</f>
        <v>1</v>
      </c>
      <c r="K35" s="110">
        <f>IF('CALENDARIO 2027'!AG47="G",1,0)</f>
        <v>0</v>
      </c>
      <c r="L35" s="110">
        <f>IF('CALENDARIO 2027'!AG48="G",1,0)</f>
        <v>1</v>
      </c>
    </row>
    <row r="36" spans="2:12" x14ac:dyDescent="0.25">
      <c r="B36" s="111">
        <v>34</v>
      </c>
      <c r="C36" s="112">
        <v>46545</v>
      </c>
      <c r="D36" s="112">
        <v>46551</v>
      </c>
      <c r="E36" s="113" t="str">
        <f>LEFT(IF('CALENDARIO 2027'!I53="G","JAVI · ","")&amp;IF('CALENDARIO 2027'!I54="G","JOSE · ","")&amp;IF('CALENDARIO 2027'!I55="G","JOSE LUIS · ","")&amp;IF('CALENDARIO 2027'!I56="G","ALBERTO · ","")&amp;IF('CALENDARIO 2027'!I57="G","MOLINERO · ",""),LEN(IF('CALENDARIO 2027'!I53="G","JAVI · ","")&amp;IF('CALENDARIO 2027'!I54="G","JOSE · ","")&amp;IF('CALENDARIO 2027'!I55="G","JOSE LUIS · ","")&amp;IF('CALENDARIO 2027'!I56="G","ALBERTO · ","")&amp;IF('CALENDARIO 2027'!I57="G","MOLINERO · ",""))-3)</f>
        <v>JAVI · ALBERTO</v>
      </c>
      <c r="F36" s="114"/>
      <c r="H36" s="110">
        <f>IF('CALENDARIO 2027'!I53="G",1,0)</f>
        <v>1</v>
      </c>
      <c r="I36" s="110">
        <f>IF('CALENDARIO 2027'!I54="G",1,0)</f>
        <v>0</v>
      </c>
      <c r="J36" s="110">
        <f>IF('CALENDARIO 2027'!I55="G",1,0)</f>
        <v>0</v>
      </c>
      <c r="K36" s="110">
        <f>IF('CALENDARIO 2027'!I56="G",1,0)</f>
        <v>1</v>
      </c>
      <c r="L36" s="110">
        <f>IF('CALENDARIO 2027'!I57="G",1,0)</f>
        <v>0</v>
      </c>
    </row>
    <row r="37" spans="2:12" x14ac:dyDescent="0.25">
      <c r="B37" s="106">
        <v>35</v>
      </c>
      <c r="C37" s="107">
        <v>46552</v>
      </c>
      <c r="D37" s="107">
        <v>46558</v>
      </c>
      <c r="E37" s="108" t="str">
        <f>LEFT(IF('CALENDARIO 2027'!P53="G","JAVI · ","")&amp;IF('CALENDARIO 2027'!P54="G","JOSE · ","")&amp;IF('CALENDARIO 2027'!P55="G","JOSE LUIS · ","")&amp;IF('CALENDARIO 2027'!P56="G","ALBERTO · ","")&amp;IF('CALENDARIO 2027'!P57="G","MOLINERO · ",""),LEN(IF('CALENDARIO 2027'!P53="G","JAVI · ","")&amp;IF('CALENDARIO 2027'!P54="G","JOSE · ","")&amp;IF('CALENDARIO 2027'!P55="G","JOSE LUIS · ","")&amp;IF('CALENDARIO 2027'!P56="G","ALBERTO · ","")&amp;IF('CALENDARIO 2027'!P57="G","MOLINERO · ",""))-3)</f>
        <v>JOSE · MOLINERO</v>
      </c>
      <c r="F37" s="109"/>
      <c r="H37" s="110">
        <f>IF('CALENDARIO 2027'!P53="G",1,0)</f>
        <v>0</v>
      </c>
      <c r="I37" s="110">
        <f>IF('CALENDARIO 2027'!P54="G",1,0)</f>
        <v>1</v>
      </c>
      <c r="J37" s="110">
        <f>IF('CALENDARIO 2027'!P55="G",1,0)</f>
        <v>0</v>
      </c>
      <c r="K37" s="110">
        <f>IF('CALENDARIO 2027'!P56="G",1,0)</f>
        <v>0</v>
      </c>
      <c r="L37" s="110">
        <f>IF('CALENDARIO 2027'!P57="G",1,0)</f>
        <v>1</v>
      </c>
    </row>
    <row r="38" spans="2:12" x14ac:dyDescent="0.25">
      <c r="B38" s="111">
        <v>36</v>
      </c>
      <c r="C38" s="112">
        <v>46559</v>
      </c>
      <c r="D38" s="112">
        <v>46565</v>
      </c>
      <c r="E38" s="113" t="str">
        <f>LEFT(IF('CALENDARIO 2027'!W53="G","JAVI · ","")&amp;IF('CALENDARIO 2027'!W54="G","JOSE · ","")&amp;IF('CALENDARIO 2027'!W55="G","JOSE LUIS · ","")&amp;IF('CALENDARIO 2027'!W56="G","ALBERTO · ","")&amp;IF('CALENDARIO 2027'!W57="G","MOLINERO · ",""),LEN(IF('CALENDARIO 2027'!W53="G","JAVI · ","")&amp;IF('CALENDARIO 2027'!W54="G","JOSE · ","")&amp;IF('CALENDARIO 2027'!W55="G","JOSE LUIS · ","")&amp;IF('CALENDARIO 2027'!W56="G","ALBERTO · ","")&amp;IF('CALENDARIO 2027'!W57="G","MOLINERO · ",""))-3)</f>
        <v>JOSE LUIS · ALBERTO</v>
      </c>
      <c r="F38" s="114"/>
      <c r="H38" s="110">
        <f>IF('CALENDARIO 2027'!W53="G",1,0)</f>
        <v>0</v>
      </c>
      <c r="I38" s="110">
        <f>IF('CALENDARIO 2027'!W54="G",1,0)</f>
        <v>0</v>
      </c>
      <c r="J38" s="110">
        <f>IF('CALENDARIO 2027'!W55="G",1,0)</f>
        <v>1</v>
      </c>
      <c r="K38" s="110">
        <f>IF('CALENDARIO 2027'!W56="G",1,0)</f>
        <v>1</v>
      </c>
      <c r="L38" s="110">
        <f>IF('CALENDARIO 2027'!W57="G",1,0)</f>
        <v>0</v>
      </c>
    </row>
    <row r="39" spans="2:12" x14ac:dyDescent="0.25">
      <c r="B39" s="106">
        <v>37</v>
      </c>
      <c r="C39" s="107">
        <v>46566</v>
      </c>
      <c r="D39" s="107">
        <v>46572</v>
      </c>
      <c r="E39" s="108" t="str">
        <f>LEFT(IF('CALENDARIO 2027'!AD53="G","JAVI · ","")&amp;IF('CALENDARIO 2027'!AD54="G","JOSE · ","")&amp;IF('CALENDARIO 2027'!AD55="G","JOSE LUIS · ","")&amp;IF('CALENDARIO 2027'!AD56="G","ALBERTO · ","")&amp;IF('CALENDARIO 2027'!AD57="G","MOLINERO · ",""),LEN(IF('CALENDARIO 2027'!AD53="G","JAVI · ","")&amp;IF('CALENDARIO 2027'!AD54="G","JOSE · ","")&amp;IF('CALENDARIO 2027'!AD55="G","JOSE LUIS · ","")&amp;IF('CALENDARIO 2027'!AD56="G","ALBERTO · ","")&amp;IF('CALENDARIO 2027'!AD57="G","MOLINERO · ",""))-3)</f>
        <v>JAVI · JOSE</v>
      </c>
      <c r="F39" s="109"/>
      <c r="H39" s="110">
        <f>IF('CALENDARIO 2027'!AD53="G",1,0)</f>
        <v>1</v>
      </c>
      <c r="I39" s="110">
        <f>IF('CALENDARIO 2027'!AD54="G",1,0)</f>
        <v>1</v>
      </c>
      <c r="J39" s="110">
        <f>IF('CALENDARIO 2027'!AD55="G",1,0)</f>
        <v>0</v>
      </c>
      <c r="K39" s="110">
        <f>IF('CALENDARIO 2027'!AD56="G",1,0)</f>
        <v>0</v>
      </c>
      <c r="L39" s="110">
        <f>IF('CALENDARIO 2027'!AD57="G",1,0)</f>
        <v>0</v>
      </c>
    </row>
    <row r="40" spans="2:12" x14ac:dyDescent="0.25">
      <c r="B40" s="111">
        <v>38</v>
      </c>
      <c r="C40" s="112">
        <v>46573</v>
      </c>
      <c r="D40" s="112">
        <v>46579</v>
      </c>
      <c r="E40" s="113" t="str">
        <f>LEFT(IF('CALENDARIO 2027'!G62="G","JAVI · ","")&amp;IF('CALENDARIO 2027'!G63="G","JOSE · ","")&amp;IF('CALENDARIO 2027'!G64="G","JOSE LUIS · ","")&amp;IF('CALENDARIO 2027'!G65="G","ALBERTO · ","")&amp;IF('CALENDARIO 2027'!G66="G","MOLINERO · ",""),LEN(IF('CALENDARIO 2027'!G62="G","JAVI · ","")&amp;IF('CALENDARIO 2027'!G63="G","JOSE · ","")&amp;IF('CALENDARIO 2027'!G64="G","JOSE LUIS · ","")&amp;IF('CALENDARIO 2027'!G65="G","ALBERTO · ","")&amp;IF('CALENDARIO 2027'!G66="G","MOLINERO · ",""))-3)</f>
        <v>JOSE LUIS · MOLINERO</v>
      </c>
      <c r="F40" s="114"/>
      <c r="H40" s="110">
        <f>IF('CALENDARIO 2027'!G62="G",1,0)</f>
        <v>0</v>
      </c>
      <c r="I40" s="110">
        <f>IF('CALENDARIO 2027'!G63="G",1,0)</f>
        <v>0</v>
      </c>
      <c r="J40" s="110">
        <f>IF('CALENDARIO 2027'!G64="G",1,0)</f>
        <v>1</v>
      </c>
      <c r="K40" s="110">
        <f>IF('CALENDARIO 2027'!G65="G",1,0)</f>
        <v>0</v>
      </c>
      <c r="L40" s="110">
        <f>IF('CALENDARIO 2027'!G66="G",1,0)</f>
        <v>1</v>
      </c>
    </row>
    <row r="41" spans="2:12" x14ac:dyDescent="0.25">
      <c r="B41" s="106">
        <v>39</v>
      </c>
      <c r="C41" s="107">
        <v>46580</v>
      </c>
      <c r="D41" s="107">
        <v>46586</v>
      </c>
      <c r="E41" s="108" t="str">
        <f>LEFT(IF('CALENDARIO 2027'!N62="G","JAVI · ","")&amp;IF('CALENDARIO 2027'!N63="G","JOSE · ","")&amp;IF('CALENDARIO 2027'!N64="G","JOSE LUIS · ","")&amp;IF('CALENDARIO 2027'!N65="G","ALBERTO · ","")&amp;IF('CALENDARIO 2027'!N66="G","MOLINERO · ",""),LEN(IF('CALENDARIO 2027'!N62="G","JAVI · ","")&amp;IF('CALENDARIO 2027'!N63="G","JOSE · ","")&amp;IF('CALENDARIO 2027'!N64="G","JOSE LUIS · ","")&amp;IF('CALENDARIO 2027'!N65="G","ALBERTO · ","")&amp;IF('CALENDARIO 2027'!N66="G","MOLINERO · ",""))-3)</f>
        <v>JAVI · ALBERTO</v>
      </c>
      <c r="F41" s="109"/>
      <c r="H41" s="110">
        <f>IF('CALENDARIO 2027'!N62="G",1,0)</f>
        <v>1</v>
      </c>
      <c r="I41" s="110">
        <f>IF('CALENDARIO 2027'!N63="G",1,0)</f>
        <v>0</v>
      </c>
      <c r="J41" s="110">
        <f>IF('CALENDARIO 2027'!N64="G",1,0)</f>
        <v>0</v>
      </c>
      <c r="K41" s="110">
        <f>IF('CALENDARIO 2027'!N65="G",1,0)</f>
        <v>1</v>
      </c>
      <c r="L41" s="110">
        <f>IF('CALENDARIO 2027'!N66="G",1,0)</f>
        <v>0</v>
      </c>
    </row>
    <row r="42" spans="2:12" x14ac:dyDescent="0.25">
      <c r="B42" s="111">
        <v>40</v>
      </c>
      <c r="C42" s="112">
        <v>46587</v>
      </c>
      <c r="D42" s="112">
        <v>46593</v>
      </c>
      <c r="E42" s="113" t="str">
        <f>LEFT(IF('CALENDARIO 2027'!U62="G","JAVI · ","")&amp;IF('CALENDARIO 2027'!U63="G","JOSE · ","")&amp;IF('CALENDARIO 2027'!U64="G","JOSE LUIS · ","")&amp;IF('CALENDARIO 2027'!U65="G","ALBERTO · ","")&amp;IF('CALENDARIO 2027'!U66="G","MOLINERO · ",""),LEN(IF('CALENDARIO 2027'!U62="G","JAVI · ","")&amp;IF('CALENDARIO 2027'!U63="G","JOSE · ","")&amp;IF('CALENDARIO 2027'!U64="G","JOSE LUIS · ","")&amp;IF('CALENDARIO 2027'!U65="G","ALBERTO · ","")&amp;IF('CALENDARIO 2027'!U66="G","MOLINERO · ",""))-3)</f>
        <v>JOSE · JOSE LUIS</v>
      </c>
      <c r="F42" s="114"/>
      <c r="H42" s="110">
        <f>IF('CALENDARIO 2027'!U62="G",1,0)</f>
        <v>0</v>
      </c>
      <c r="I42" s="110">
        <f>IF('CALENDARIO 2027'!U63="G",1,0)</f>
        <v>1</v>
      </c>
      <c r="J42" s="110">
        <f>IF('CALENDARIO 2027'!U64="G",1,0)</f>
        <v>1</v>
      </c>
      <c r="K42" s="110">
        <f>IF('CALENDARIO 2027'!U65="G",1,0)</f>
        <v>0</v>
      </c>
      <c r="L42" s="110">
        <f>IF('CALENDARIO 2027'!U66="G",1,0)</f>
        <v>0</v>
      </c>
    </row>
    <row r="43" spans="2:12" x14ac:dyDescent="0.25">
      <c r="B43" s="106">
        <v>41</v>
      </c>
      <c r="C43" s="107">
        <v>46594</v>
      </c>
      <c r="D43" s="107">
        <v>46600</v>
      </c>
      <c r="E43" s="108" t="str">
        <f>LEFT(IF('CALENDARIO 2027'!AB62="G","JAVI · ","")&amp;IF('CALENDARIO 2027'!AB63="G","JOSE · ","")&amp;IF('CALENDARIO 2027'!AB64="G","JOSE LUIS · ","")&amp;IF('CALENDARIO 2027'!AB65="G","ALBERTO · ","")&amp;IF('CALENDARIO 2027'!AB66="G","MOLINERO · ",""),LEN(IF('CALENDARIO 2027'!AB62="G","JAVI · ","")&amp;IF('CALENDARIO 2027'!AB63="G","JOSE · ","")&amp;IF('CALENDARIO 2027'!AB64="G","JOSE LUIS · ","")&amp;IF('CALENDARIO 2027'!AB65="G","ALBERTO · ","")&amp;IF('CALENDARIO 2027'!AB66="G","MOLINERO · ",""))-3)</f>
        <v>ALBERTO · MOLINERO</v>
      </c>
      <c r="F43" s="109"/>
      <c r="H43" s="110">
        <f>IF('CALENDARIO 2027'!AB62="G",1,0)</f>
        <v>0</v>
      </c>
      <c r="I43" s="110">
        <f>IF('CALENDARIO 2027'!AB63="G",1,0)</f>
        <v>0</v>
      </c>
      <c r="J43" s="110">
        <f>IF('CALENDARIO 2027'!AB64="G",1,0)</f>
        <v>0</v>
      </c>
      <c r="K43" s="110">
        <f>IF('CALENDARIO 2027'!AB65="G",1,0)</f>
        <v>1</v>
      </c>
      <c r="L43" s="110">
        <f>IF('CALENDARIO 2027'!AB66="G",1,0)</f>
        <v>1</v>
      </c>
    </row>
    <row r="44" spans="2:12" x14ac:dyDescent="0.25">
      <c r="B44" s="111">
        <v>42</v>
      </c>
      <c r="C44" s="112">
        <v>46601</v>
      </c>
      <c r="D44" s="112">
        <v>46607</v>
      </c>
      <c r="E44" s="113" t="str">
        <f>LEFT(IF('CALENDARIO 2027'!D71="G","JAVI · ","")&amp;IF('CALENDARIO 2027'!D72="G","JOSE · ","")&amp;IF('CALENDARIO 2027'!D73="G","JOSE LUIS · ","")&amp;IF('CALENDARIO 2027'!D74="G","ALBERTO · ","")&amp;IF('CALENDARIO 2027'!D75="G","MOLINERO · ",""),LEN(IF('CALENDARIO 2027'!D71="G","JAVI · ","")&amp;IF('CALENDARIO 2027'!D72="G","JOSE · ","")&amp;IF('CALENDARIO 2027'!D73="G","JOSE LUIS · ","")&amp;IF('CALENDARIO 2027'!D74="G","ALBERTO · ","")&amp;IF('CALENDARIO 2027'!D75="G","MOLINERO · ",""))-3)</f>
        <v>JAVI · JOSE</v>
      </c>
      <c r="F44" s="114"/>
      <c r="H44" s="110">
        <f>IF('CALENDARIO 2027'!D71="G",1,0)</f>
        <v>1</v>
      </c>
      <c r="I44" s="110">
        <f>IF('CALENDARIO 2027'!D72="G",1,0)</f>
        <v>1</v>
      </c>
      <c r="J44" s="110">
        <f>IF('CALENDARIO 2027'!D73="G",1,0)</f>
        <v>0</v>
      </c>
      <c r="K44" s="110">
        <f>IF('CALENDARIO 2027'!D74="G",1,0)</f>
        <v>0</v>
      </c>
      <c r="L44" s="110">
        <f>IF('CALENDARIO 2027'!D75="G",1,0)</f>
        <v>0</v>
      </c>
    </row>
    <row r="45" spans="2:12" x14ac:dyDescent="0.25">
      <c r="B45" s="106">
        <v>43</v>
      </c>
      <c r="C45" s="107">
        <v>46608</v>
      </c>
      <c r="D45" s="107">
        <v>46614</v>
      </c>
      <c r="E45" s="108" t="str">
        <f>LEFT(IF('CALENDARIO 2027'!K71="G","JAVI · ","")&amp;IF('CALENDARIO 2027'!K72="G","JOSE · ","")&amp;IF('CALENDARIO 2027'!K73="G","JOSE LUIS · ","")&amp;IF('CALENDARIO 2027'!K74="G","ALBERTO · ","")&amp;IF('CALENDARIO 2027'!K75="G","MOLINERO · ",""),LEN(IF('CALENDARIO 2027'!K71="G","JAVI · ","")&amp;IF('CALENDARIO 2027'!K72="G","JOSE · ","")&amp;IF('CALENDARIO 2027'!K73="G","JOSE LUIS · ","")&amp;IF('CALENDARIO 2027'!K74="G","ALBERTO · ","")&amp;IF('CALENDARIO 2027'!K75="G","MOLINERO · ",""))-3)</f>
        <v>JOSE LUIS · MOLINERO</v>
      </c>
      <c r="F45" s="109"/>
      <c r="H45" s="110">
        <f>IF('CALENDARIO 2027'!K71="G",1,0)</f>
        <v>0</v>
      </c>
      <c r="I45" s="110">
        <f>IF('CALENDARIO 2027'!K72="G",1,0)</f>
        <v>0</v>
      </c>
      <c r="J45" s="110">
        <f>IF('CALENDARIO 2027'!K73="G",1,0)</f>
        <v>1</v>
      </c>
      <c r="K45" s="110">
        <f>IF('CALENDARIO 2027'!K74="G",1,0)</f>
        <v>0</v>
      </c>
      <c r="L45" s="110">
        <f>IF('CALENDARIO 2027'!K75="G",1,0)</f>
        <v>1</v>
      </c>
    </row>
    <row r="46" spans="2:12" x14ac:dyDescent="0.25">
      <c r="B46" s="115">
        <v>44</v>
      </c>
      <c r="C46" s="116">
        <v>46615</v>
      </c>
      <c r="D46" s="116">
        <v>46621</v>
      </c>
      <c r="E46" s="117" t="str">
        <f>LEFT(IF('CALENDARIO 2027'!R71="G","JAVI · ","")&amp;IF('CALENDARIO 2027'!R72="G","JOSE · ","")&amp;IF('CALENDARIO 2027'!R73="G","JOSE LUIS · ","")&amp;IF('CALENDARIO 2027'!R74="G","ALBERTO · ","")&amp;IF('CALENDARIO 2027'!R75="G","MOLINERO · ",""),LEN(IF('CALENDARIO 2027'!R71="G","JAVI · ","")&amp;IF('CALENDARIO 2027'!R72="G","JOSE · ","")&amp;IF('CALENDARIO 2027'!R73="G","JOSE LUIS · ","")&amp;IF('CALENDARIO 2027'!R74="G","ALBERTO · ","")&amp;IF('CALENDARIO 2027'!R75="G","MOLINERO · ",""))-3)</f>
        <v>JOSE · ALBERTO</v>
      </c>
      <c r="F46" s="118" t="s">
        <v>145</v>
      </c>
      <c r="H46" s="110">
        <f>IF('CALENDARIO 2027'!R71="G",1,0)</f>
        <v>0</v>
      </c>
      <c r="I46" s="110">
        <f>IF('CALENDARIO 2027'!R72="G",1,0)</f>
        <v>1</v>
      </c>
      <c r="J46" s="110">
        <f>IF('CALENDARIO 2027'!R73="G",1,0)</f>
        <v>0</v>
      </c>
      <c r="K46" s="110">
        <f>IF('CALENDARIO 2027'!R74="G",1,0)</f>
        <v>1</v>
      </c>
      <c r="L46" s="110">
        <f>IF('CALENDARIO 2027'!R75="G",1,0)</f>
        <v>0</v>
      </c>
    </row>
    <row r="47" spans="2:12" x14ac:dyDescent="0.25">
      <c r="B47" s="106">
        <v>45</v>
      </c>
      <c r="C47" s="107">
        <v>46622</v>
      </c>
      <c r="D47" s="107">
        <v>46628</v>
      </c>
      <c r="E47" s="108" t="str">
        <f>LEFT(IF('CALENDARIO 2027'!Y71="G","JAVI · ","")&amp;IF('CALENDARIO 2027'!Y72="G","JOSE · ","")&amp;IF('CALENDARIO 2027'!Y73="G","JOSE LUIS · ","")&amp;IF('CALENDARIO 2027'!Y74="G","ALBERTO · ","")&amp;IF('CALENDARIO 2027'!Y75="G","MOLINERO · ",""),LEN(IF('CALENDARIO 2027'!Y71="G","JAVI · ","")&amp;IF('CALENDARIO 2027'!Y72="G","JOSE · ","")&amp;IF('CALENDARIO 2027'!Y73="G","JOSE LUIS · ","")&amp;IF('CALENDARIO 2027'!Y74="G","ALBERTO · ","")&amp;IF('CALENDARIO 2027'!Y75="G","MOLINERO · ",""))-3)</f>
        <v>JAVI · JOSE LUIS</v>
      </c>
      <c r="F47" s="109"/>
      <c r="H47" s="110">
        <f>IF('CALENDARIO 2027'!Y71="G",1,0)</f>
        <v>1</v>
      </c>
      <c r="I47" s="110">
        <f>IF('CALENDARIO 2027'!Y72="G",1,0)</f>
        <v>0</v>
      </c>
      <c r="J47" s="110">
        <f>IF('CALENDARIO 2027'!Y73="G",1,0)</f>
        <v>1</v>
      </c>
      <c r="K47" s="110">
        <f>IF('CALENDARIO 2027'!Y74="G",1,0)</f>
        <v>0</v>
      </c>
      <c r="L47" s="110">
        <f>IF('CALENDARIO 2027'!Y75="G",1,0)</f>
        <v>0</v>
      </c>
    </row>
    <row r="48" spans="2:12" x14ac:dyDescent="0.25">
      <c r="B48" s="111">
        <v>46</v>
      </c>
      <c r="C48" s="112">
        <v>46629</v>
      </c>
      <c r="D48" s="112">
        <v>46635</v>
      </c>
      <c r="E48" s="113" t="str">
        <f>LEFT(IF('CALENDARIO 2027'!AF71="G","JAVI · ","")&amp;IF('CALENDARIO 2027'!AF72="G","JOSE · ","")&amp;IF('CALENDARIO 2027'!AF73="G","JOSE LUIS · ","")&amp;IF('CALENDARIO 2027'!AF74="G","ALBERTO · ","")&amp;IF('CALENDARIO 2027'!AF75="G","MOLINERO · ",""),LEN(IF('CALENDARIO 2027'!AF71="G","JAVI · ","")&amp;IF('CALENDARIO 2027'!AF72="G","JOSE · ","")&amp;IF('CALENDARIO 2027'!AF73="G","JOSE LUIS · ","")&amp;IF('CALENDARIO 2027'!AF74="G","ALBERTO · ","")&amp;IF('CALENDARIO 2027'!AF75="G","MOLINERO · ",""))-3)</f>
        <v>ALBERTO · MOLINERO</v>
      </c>
      <c r="F48" s="114"/>
      <c r="H48" s="110">
        <f>IF('CALENDARIO 2027'!AF71="G",1,0)</f>
        <v>0</v>
      </c>
      <c r="I48" s="110">
        <f>IF('CALENDARIO 2027'!AF72="G",1,0)</f>
        <v>0</v>
      </c>
      <c r="J48" s="110">
        <f>IF('CALENDARIO 2027'!AF73="G",1,0)</f>
        <v>0</v>
      </c>
      <c r="K48" s="110">
        <f>IF('CALENDARIO 2027'!AF74="G",1,0)</f>
        <v>1</v>
      </c>
      <c r="L48" s="110">
        <f>IF('CALENDARIO 2027'!AF75="G",1,0)</f>
        <v>1</v>
      </c>
    </row>
    <row r="49" spans="2:12" x14ac:dyDescent="0.25">
      <c r="B49" s="106">
        <v>47</v>
      </c>
      <c r="C49" s="107">
        <v>46636</v>
      </c>
      <c r="D49" s="107">
        <v>46642</v>
      </c>
      <c r="E49" s="108" t="str">
        <f>LEFT(IF('CALENDARIO 2027'!H80="G","JAVI · ","")&amp;IF('CALENDARIO 2027'!H81="G","JOSE · ","")&amp;IF('CALENDARIO 2027'!H82="G","JOSE LUIS · ","")&amp;IF('CALENDARIO 2027'!H83="G","ALBERTO · ","")&amp;IF('CALENDARIO 2027'!H84="G","MOLINERO · ",""),LEN(IF('CALENDARIO 2027'!H80="G","JAVI · ","")&amp;IF('CALENDARIO 2027'!H81="G","JOSE · ","")&amp;IF('CALENDARIO 2027'!H82="G","JOSE LUIS · ","")&amp;IF('CALENDARIO 2027'!H83="G","ALBERTO · ","")&amp;IF('CALENDARIO 2027'!H84="G","MOLINERO · ",""))-3)</f>
        <v>JAVI · JOSE</v>
      </c>
      <c r="F49" s="109"/>
      <c r="H49" s="110">
        <f>IF('CALENDARIO 2027'!H80="G",1,0)</f>
        <v>1</v>
      </c>
      <c r="I49" s="110">
        <f>IF('CALENDARIO 2027'!H81="G",1,0)</f>
        <v>1</v>
      </c>
      <c r="J49" s="110">
        <f>IF('CALENDARIO 2027'!H82="G",1,0)</f>
        <v>0</v>
      </c>
      <c r="K49" s="110">
        <f>IF('CALENDARIO 2027'!H83="G",1,0)</f>
        <v>0</v>
      </c>
      <c r="L49" s="110">
        <f>IF('CALENDARIO 2027'!H84="G",1,0)</f>
        <v>0</v>
      </c>
    </row>
    <row r="50" spans="2:12" x14ac:dyDescent="0.25">
      <c r="B50" s="111">
        <v>48</v>
      </c>
      <c r="C50" s="112">
        <v>46643</v>
      </c>
      <c r="D50" s="112">
        <v>46649</v>
      </c>
      <c r="E50" s="113" t="str">
        <f>LEFT(IF('CALENDARIO 2027'!O80="G","JAVI · ","")&amp;IF('CALENDARIO 2027'!O81="G","JOSE · ","")&amp;IF('CALENDARIO 2027'!O82="G","JOSE LUIS · ","")&amp;IF('CALENDARIO 2027'!O83="G","ALBERTO · ","")&amp;IF('CALENDARIO 2027'!O84="G","MOLINERO · ",""),LEN(IF('CALENDARIO 2027'!O80="G","JAVI · ","")&amp;IF('CALENDARIO 2027'!O81="G","JOSE · ","")&amp;IF('CALENDARIO 2027'!O82="G","JOSE LUIS · ","")&amp;IF('CALENDARIO 2027'!O83="G","ALBERTO · ","")&amp;IF('CALENDARIO 2027'!O84="G","MOLINERO · ",""))-3)</f>
        <v>JOSE LUIS · ALBERTO</v>
      </c>
      <c r="F50" s="114"/>
      <c r="H50" s="110">
        <f>IF('CALENDARIO 2027'!O80="G",1,0)</f>
        <v>0</v>
      </c>
      <c r="I50" s="110">
        <f>IF('CALENDARIO 2027'!O81="G",1,0)</f>
        <v>0</v>
      </c>
      <c r="J50" s="110">
        <f>IF('CALENDARIO 2027'!O82="G",1,0)</f>
        <v>1</v>
      </c>
      <c r="K50" s="110">
        <f>IF('CALENDARIO 2027'!O83="G",1,0)</f>
        <v>1</v>
      </c>
      <c r="L50" s="110">
        <f>IF('CALENDARIO 2027'!O84="G",1,0)</f>
        <v>0</v>
      </c>
    </row>
    <row r="51" spans="2:12" x14ac:dyDescent="0.25">
      <c r="B51" s="106">
        <v>49</v>
      </c>
      <c r="C51" s="107">
        <v>46650</v>
      </c>
      <c r="D51" s="107">
        <v>46656</v>
      </c>
      <c r="E51" s="108" t="str">
        <f>LEFT(IF('CALENDARIO 2027'!V80="G","JAVI · ","")&amp;IF('CALENDARIO 2027'!V81="G","JOSE · ","")&amp;IF('CALENDARIO 2027'!V82="G","JOSE LUIS · ","")&amp;IF('CALENDARIO 2027'!V83="G","ALBERTO · ","")&amp;IF('CALENDARIO 2027'!V84="G","MOLINERO · ",""),LEN(IF('CALENDARIO 2027'!V80="G","JAVI · ","")&amp;IF('CALENDARIO 2027'!V81="G","JOSE · ","")&amp;IF('CALENDARIO 2027'!V82="G","JOSE LUIS · ","")&amp;IF('CALENDARIO 2027'!V83="G","ALBERTO · ","")&amp;IF('CALENDARIO 2027'!V84="G","MOLINERO · ",""))-3)</f>
        <v>JAVI · MOLINERO</v>
      </c>
      <c r="F51" s="109"/>
      <c r="H51" s="110">
        <f>IF('CALENDARIO 2027'!V80="G",1,0)</f>
        <v>1</v>
      </c>
      <c r="I51" s="110">
        <f>IF('CALENDARIO 2027'!V81="G",1,0)</f>
        <v>0</v>
      </c>
      <c r="J51" s="110">
        <f>IF('CALENDARIO 2027'!V82="G",1,0)</f>
        <v>0</v>
      </c>
      <c r="K51" s="110">
        <f>IF('CALENDARIO 2027'!V83="G",1,0)</f>
        <v>0</v>
      </c>
      <c r="L51" s="110">
        <f>IF('CALENDARIO 2027'!V84="G",1,0)</f>
        <v>1</v>
      </c>
    </row>
    <row r="52" spans="2:12" x14ac:dyDescent="0.25">
      <c r="B52" s="111">
        <v>50</v>
      </c>
      <c r="C52" s="112">
        <v>46657</v>
      </c>
      <c r="D52" s="112">
        <v>46663</v>
      </c>
      <c r="E52" s="113" t="str">
        <f>LEFT(IF('CALENDARIO 2027'!AC80="G","JAVI · ","")&amp;IF('CALENDARIO 2027'!AC81="G","JOSE · ","")&amp;IF('CALENDARIO 2027'!AC82="G","JOSE LUIS · ","")&amp;IF('CALENDARIO 2027'!AC83="G","ALBERTO · ","")&amp;IF('CALENDARIO 2027'!AC84="G","MOLINERO · ",""),LEN(IF('CALENDARIO 2027'!AC80="G","JAVI · ","")&amp;IF('CALENDARIO 2027'!AC81="G","JOSE · ","")&amp;IF('CALENDARIO 2027'!AC82="G","JOSE LUIS · ","")&amp;IF('CALENDARIO 2027'!AC83="G","ALBERTO · ","")&amp;IF('CALENDARIO 2027'!AC84="G","MOLINERO · ",""))-3)</f>
        <v>JOSE · JOSE LUIS</v>
      </c>
      <c r="F52" s="114"/>
      <c r="H52" s="110">
        <f>IF('CALENDARIO 2027'!AC80="G",1,0)</f>
        <v>0</v>
      </c>
      <c r="I52" s="110">
        <f>IF('CALENDARIO 2027'!AC81="G",1,0)</f>
        <v>1</v>
      </c>
      <c r="J52" s="110">
        <f>IF('CALENDARIO 2027'!AC82="G",1,0)</f>
        <v>1</v>
      </c>
      <c r="K52" s="110">
        <f>IF('CALENDARIO 2027'!AC83="G",1,0)</f>
        <v>0</v>
      </c>
      <c r="L52" s="110">
        <f>IF('CALENDARIO 2027'!AC84="G",1,0)</f>
        <v>0</v>
      </c>
    </row>
    <row r="53" spans="2:12" x14ac:dyDescent="0.25">
      <c r="B53" s="106">
        <v>51</v>
      </c>
      <c r="C53" s="107">
        <v>46664</v>
      </c>
      <c r="D53" s="107">
        <v>46670</v>
      </c>
      <c r="E53" s="108" t="str">
        <f>LEFT(IF('CALENDARIO 2027'!F89="G","JAVI · ","")&amp;IF('CALENDARIO 2027'!F90="G","JOSE · ","")&amp;IF('CALENDARIO 2027'!F91="G","JOSE LUIS · ","")&amp;IF('CALENDARIO 2027'!F92="G","ALBERTO · ","")&amp;IF('CALENDARIO 2027'!F93="G","MOLINERO · ",""),LEN(IF('CALENDARIO 2027'!F89="G","JAVI · ","")&amp;IF('CALENDARIO 2027'!F90="G","JOSE · ","")&amp;IF('CALENDARIO 2027'!F91="G","JOSE LUIS · ","")&amp;IF('CALENDARIO 2027'!F92="G","ALBERTO · ","")&amp;IF('CALENDARIO 2027'!F93="G","MOLINERO · ",""))-3)</f>
        <v>ALBERTO · MOLINERO</v>
      </c>
      <c r="F53" s="109"/>
      <c r="H53" s="110">
        <f>IF('CALENDARIO 2027'!F89="G",1,0)</f>
        <v>0</v>
      </c>
      <c r="I53" s="110">
        <f>IF('CALENDARIO 2027'!F90="G",1,0)</f>
        <v>0</v>
      </c>
      <c r="J53" s="110">
        <f>IF('CALENDARIO 2027'!F91="G",1,0)</f>
        <v>0</v>
      </c>
      <c r="K53" s="110">
        <f>IF('CALENDARIO 2027'!F92="G",1,0)</f>
        <v>1</v>
      </c>
      <c r="L53" s="110">
        <f>IF('CALENDARIO 2027'!F93="G",1,0)</f>
        <v>1</v>
      </c>
    </row>
    <row r="54" spans="2:12" x14ac:dyDescent="0.25">
      <c r="B54" s="115">
        <v>52</v>
      </c>
      <c r="C54" s="116">
        <v>46671</v>
      </c>
      <c r="D54" s="116">
        <v>46677</v>
      </c>
      <c r="E54" s="117" t="str">
        <f>LEFT(IF('CALENDARIO 2027'!M89="G","JAVI · ","")&amp;IF('CALENDARIO 2027'!M90="G","JOSE · ","")&amp;IF('CALENDARIO 2027'!M91="G","JOSE LUIS · ","")&amp;IF('CALENDARIO 2027'!M92="G","ALBERTO · ","")&amp;IF('CALENDARIO 2027'!M93="G","MOLINERO · ",""),LEN(IF('CALENDARIO 2027'!M89="G","JAVI · ","")&amp;IF('CALENDARIO 2027'!M90="G","JOSE · ","")&amp;IF('CALENDARIO 2027'!M91="G","JOSE LUIS · ","")&amp;IF('CALENDARIO 2027'!M92="G","ALBERTO · ","")&amp;IF('CALENDARIO 2027'!M93="G","MOLINERO · ",""))-3)</f>
        <v>JAVI · JOSE</v>
      </c>
      <c r="F54" s="118" t="s">
        <v>146</v>
      </c>
      <c r="H54" s="110">
        <f>IF('CALENDARIO 2027'!M89="G",1,0)</f>
        <v>1</v>
      </c>
      <c r="I54" s="110">
        <f>IF('CALENDARIO 2027'!M90="G",1,0)</f>
        <v>1</v>
      </c>
      <c r="J54" s="110">
        <f>IF('CALENDARIO 2027'!M91="G",1,0)</f>
        <v>0</v>
      </c>
      <c r="K54" s="110">
        <f>IF('CALENDARIO 2027'!M92="G",1,0)</f>
        <v>0</v>
      </c>
      <c r="L54" s="110">
        <f>IF('CALENDARIO 2027'!M93="G",1,0)</f>
        <v>0</v>
      </c>
    </row>
    <row r="55" spans="2:12" x14ac:dyDescent="0.25">
      <c r="B55" s="106">
        <v>53</v>
      </c>
      <c r="C55" s="107">
        <v>46678</v>
      </c>
      <c r="D55" s="107">
        <v>46684</v>
      </c>
      <c r="E55" s="108" t="str">
        <f>LEFT(IF('CALENDARIO 2027'!T89="G","JAVI · ","")&amp;IF('CALENDARIO 2027'!T90="G","JOSE · ","")&amp;IF('CALENDARIO 2027'!T91="G","JOSE LUIS · ","")&amp;IF('CALENDARIO 2027'!T92="G","ALBERTO · ","")&amp;IF('CALENDARIO 2027'!T93="G","MOLINERO · ",""),LEN(IF('CALENDARIO 2027'!T89="G","JAVI · ","")&amp;IF('CALENDARIO 2027'!T90="G","JOSE · ","")&amp;IF('CALENDARIO 2027'!T91="G","JOSE LUIS · ","")&amp;IF('CALENDARIO 2027'!T92="G","ALBERTO · ","")&amp;IF('CALENDARIO 2027'!T93="G","MOLINERO · ",""))-3)</f>
        <v>JOSE LUIS · ALBERTO</v>
      </c>
      <c r="F55" s="109"/>
      <c r="H55" s="110">
        <f>IF('CALENDARIO 2027'!T89="G",1,0)</f>
        <v>0</v>
      </c>
      <c r="I55" s="110">
        <f>IF('CALENDARIO 2027'!T90="G",1,0)</f>
        <v>0</v>
      </c>
      <c r="J55" s="110">
        <f>IF('CALENDARIO 2027'!T91="G",1,0)</f>
        <v>1</v>
      </c>
      <c r="K55" s="110">
        <f>IF('CALENDARIO 2027'!T92="G",1,0)</f>
        <v>1</v>
      </c>
      <c r="L55" s="110">
        <f>IF('CALENDARIO 2027'!T93="G",1,0)</f>
        <v>0</v>
      </c>
    </row>
    <row r="56" spans="2:12" x14ac:dyDescent="0.25">
      <c r="B56" s="111">
        <v>54</v>
      </c>
      <c r="C56" s="112">
        <v>46685</v>
      </c>
      <c r="D56" s="112">
        <v>46691</v>
      </c>
      <c r="E56" s="113" t="str">
        <f>LEFT(IF('CALENDARIO 2027'!AA89="G","JAVI · ","")&amp;IF('CALENDARIO 2027'!AA90="G","JOSE · ","")&amp;IF('CALENDARIO 2027'!AA91="G","JOSE LUIS · ","")&amp;IF('CALENDARIO 2027'!AA92="G","ALBERTO · ","")&amp;IF('CALENDARIO 2027'!AA93="G","MOLINERO · ",""),LEN(IF('CALENDARIO 2027'!AA89="G","JAVI · ","")&amp;IF('CALENDARIO 2027'!AA90="G","JOSE · ","")&amp;IF('CALENDARIO 2027'!AA91="G","JOSE LUIS · ","")&amp;IF('CALENDARIO 2027'!AA92="G","ALBERTO · ","")&amp;IF('CALENDARIO 2027'!AA93="G","MOLINERO · ",""))-3)</f>
        <v>JAVI · MOLINERO</v>
      </c>
      <c r="F56" s="114"/>
      <c r="H56" s="110">
        <f>IF('CALENDARIO 2027'!AA89="G",1,0)</f>
        <v>1</v>
      </c>
      <c r="I56" s="110">
        <f>IF('CALENDARIO 2027'!AA90="G",1,0)</f>
        <v>0</v>
      </c>
      <c r="J56" s="110">
        <f>IF('CALENDARIO 2027'!AA91="G",1,0)</f>
        <v>0</v>
      </c>
      <c r="K56" s="110">
        <f>IF('CALENDARIO 2027'!AA92="G",1,0)</f>
        <v>0</v>
      </c>
      <c r="L56" s="110">
        <f>IF('CALENDARIO 2027'!AA93="G",1,0)</f>
        <v>1</v>
      </c>
    </row>
    <row r="57" spans="2:12" x14ac:dyDescent="0.25">
      <c r="B57" s="115">
        <v>55</v>
      </c>
      <c r="C57" s="116">
        <v>46692</v>
      </c>
      <c r="D57" s="116">
        <v>46698</v>
      </c>
      <c r="E57" s="117" t="str">
        <f>LEFT(IF('CALENDARIO 2027'!C98="G","JAVI · ","")&amp;IF('CALENDARIO 2027'!C99="G","JOSE · ","")&amp;IF('CALENDARIO 2027'!C100="G","JOSE LUIS · ","")&amp;IF('CALENDARIO 2027'!C101="G","ALBERTO · ","")&amp;IF('CALENDARIO 2027'!C102="G","MOLINERO · ",""),LEN(IF('CALENDARIO 2027'!C98="G","JAVI · ","")&amp;IF('CALENDARIO 2027'!C99="G","JOSE · ","")&amp;IF('CALENDARIO 2027'!C100="G","JOSE LUIS · ","")&amp;IF('CALENDARIO 2027'!C101="G","ALBERTO · ","")&amp;IF('CALENDARIO 2027'!C102="G","MOLINERO · ",""))-3)</f>
        <v>JOSE · JOSE LUIS</v>
      </c>
      <c r="F57" s="118" t="s">
        <v>147</v>
      </c>
      <c r="H57" s="110">
        <f>IF('CALENDARIO 2027'!C98="G",1,0)</f>
        <v>0</v>
      </c>
      <c r="I57" s="110">
        <f>IF('CALENDARIO 2027'!C99="G",1,0)</f>
        <v>1</v>
      </c>
      <c r="J57" s="110">
        <f>IF('CALENDARIO 2027'!C100="G",1,0)</f>
        <v>1</v>
      </c>
      <c r="K57" s="110">
        <f>IF('CALENDARIO 2027'!C101="G",1,0)</f>
        <v>0</v>
      </c>
      <c r="L57" s="110">
        <f>IF('CALENDARIO 2027'!C102="G",1,0)</f>
        <v>0</v>
      </c>
    </row>
    <row r="58" spans="2:12" x14ac:dyDescent="0.25">
      <c r="B58" s="111">
        <v>56</v>
      </c>
      <c r="C58" s="112">
        <v>46699</v>
      </c>
      <c r="D58" s="112">
        <v>46705</v>
      </c>
      <c r="E58" s="113" t="str">
        <f>LEFT(IF('CALENDARIO 2027'!J98="G","JAVI · ","")&amp;IF('CALENDARIO 2027'!J99="G","JOSE · ","")&amp;IF('CALENDARIO 2027'!J100="G","JOSE LUIS · ","")&amp;IF('CALENDARIO 2027'!J101="G","ALBERTO · ","")&amp;IF('CALENDARIO 2027'!J102="G","MOLINERO · ",""),LEN(IF('CALENDARIO 2027'!J98="G","JAVI · ","")&amp;IF('CALENDARIO 2027'!J99="G","JOSE · ","")&amp;IF('CALENDARIO 2027'!J100="G","JOSE LUIS · ","")&amp;IF('CALENDARIO 2027'!J101="G","ALBERTO · ","")&amp;IF('CALENDARIO 2027'!J102="G","MOLINERO · ",""))-3)</f>
        <v>JAVI · ALBERTO</v>
      </c>
      <c r="F58" s="114"/>
      <c r="H58" s="110">
        <f>IF('CALENDARIO 2027'!J98="G",1,0)</f>
        <v>1</v>
      </c>
      <c r="I58" s="110">
        <f>IF('CALENDARIO 2027'!J99="G",1,0)</f>
        <v>0</v>
      </c>
      <c r="J58" s="110">
        <f>IF('CALENDARIO 2027'!J100="G",1,0)</f>
        <v>0</v>
      </c>
      <c r="K58" s="110">
        <f>IF('CALENDARIO 2027'!J101="G",1,0)</f>
        <v>1</v>
      </c>
      <c r="L58" s="110">
        <f>IF('CALENDARIO 2027'!J102="G",1,0)</f>
        <v>0</v>
      </c>
    </row>
    <row r="59" spans="2:12" x14ac:dyDescent="0.25">
      <c r="B59" s="106">
        <v>57</v>
      </c>
      <c r="C59" s="107">
        <v>46706</v>
      </c>
      <c r="D59" s="107">
        <v>46712</v>
      </c>
      <c r="E59" s="108" t="str">
        <f>LEFT(IF('CALENDARIO 2027'!Q98="G","JAVI · ","")&amp;IF('CALENDARIO 2027'!Q99="G","JOSE · ","")&amp;IF('CALENDARIO 2027'!Q100="G","JOSE LUIS · ","")&amp;IF('CALENDARIO 2027'!Q101="G","ALBERTO · ","")&amp;IF('CALENDARIO 2027'!Q102="G","MOLINERO · ",""),LEN(IF('CALENDARIO 2027'!Q98="G","JAVI · ","")&amp;IF('CALENDARIO 2027'!Q99="G","JOSE · ","")&amp;IF('CALENDARIO 2027'!Q100="G","JOSE LUIS · ","")&amp;IF('CALENDARIO 2027'!Q101="G","ALBERTO · ","")&amp;IF('CALENDARIO 2027'!Q102="G","MOLINERO · ",""))-3)</f>
        <v>JOSE LUIS · MOLINERO</v>
      </c>
      <c r="F59" s="109"/>
      <c r="H59" s="110">
        <f>IF('CALENDARIO 2027'!Q98="G",1,0)</f>
        <v>0</v>
      </c>
      <c r="I59" s="110">
        <f>IF('CALENDARIO 2027'!Q99="G",1,0)</f>
        <v>0</v>
      </c>
      <c r="J59" s="110">
        <f>IF('CALENDARIO 2027'!Q100="G",1,0)</f>
        <v>1</v>
      </c>
      <c r="K59" s="110">
        <f>IF('CALENDARIO 2027'!Q101="G",1,0)</f>
        <v>0</v>
      </c>
      <c r="L59" s="110">
        <f>IF('CALENDARIO 2027'!Q102="G",1,0)</f>
        <v>1</v>
      </c>
    </row>
    <row r="60" spans="2:12" x14ac:dyDescent="0.25">
      <c r="B60" s="111">
        <v>58</v>
      </c>
      <c r="C60" s="112">
        <v>46713</v>
      </c>
      <c r="D60" s="112">
        <v>46719</v>
      </c>
      <c r="E60" s="113" t="str">
        <f>LEFT(IF('CALENDARIO 2027'!X98="G","JAVI · ","")&amp;IF('CALENDARIO 2027'!X99="G","JOSE · ","")&amp;IF('CALENDARIO 2027'!X100="G","JOSE LUIS · ","")&amp;IF('CALENDARIO 2027'!X101="G","ALBERTO · ","")&amp;IF('CALENDARIO 2027'!X102="G","MOLINERO · ",""),LEN(IF('CALENDARIO 2027'!X98="G","JAVI · ","")&amp;IF('CALENDARIO 2027'!X99="G","JOSE · ","")&amp;IF('CALENDARIO 2027'!X100="G","JOSE LUIS · ","")&amp;IF('CALENDARIO 2027'!X101="G","ALBERTO · ","")&amp;IF('CALENDARIO 2027'!X102="G","MOLINERO · ",""))-3)</f>
        <v>JOSE · ALBERTO</v>
      </c>
      <c r="F60" s="114"/>
      <c r="H60" s="110">
        <f>IF('CALENDARIO 2027'!X98="G",1,0)</f>
        <v>0</v>
      </c>
      <c r="I60" s="110">
        <f>IF('CALENDARIO 2027'!X99="G",1,0)</f>
        <v>1</v>
      </c>
      <c r="J60" s="110">
        <f>IF('CALENDARIO 2027'!X100="G",1,0)</f>
        <v>0</v>
      </c>
      <c r="K60" s="110">
        <f>IF('CALENDARIO 2027'!X101="G",1,0)</f>
        <v>1</v>
      </c>
      <c r="L60" s="110">
        <f>IF('CALENDARIO 2027'!X102="G",1,0)</f>
        <v>0</v>
      </c>
    </row>
    <row r="61" spans="2:12" x14ac:dyDescent="0.25">
      <c r="B61" s="106">
        <v>59</v>
      </c>
      <c r="C61" s="107">
        <v>46720</v>
      </c>
      <c r="D61" s="107">
        <v>46726</v>
      </c>
      <c r="E61" s="108" t="str">
        <f>LEFT(IF('CALENDARIO 2027'!AE98="G","JAVI · ","")&amp;IF('CALENDARIO 2027'!AE99="G","JOSE · ","")&amp;IF('CALENDARIO 2027'!AE100="G","JOSE LUIS · ","")&amp;IF('CALENDARIO 2027'!AE101="G","ALBERTO · ","")&amp;IF('CALENDARIO 2027'!AE102="G","MOLINERO · ",""),LEN(IF('CALENDARIO 2027'!AE98="G","JAVI · ","")&amp;IF('CALENDARIO 2027'!AE99="G","JOSE · ","")&amp;IF('CALENDARIO 2027'!AE100="G","JOSE LUIS · ","")&amp;IF('CALENDARIO 2027'!AE101="G","ALBERTO · ","")&amp;IF('CALENDARIO 2027'!AE102="G","MOLINERO · ",""))-3)</f>
        <v>JAVI · MOLINERO</v>
      </c>
      <c r="F61" s="109"/>
      <c r="H61" s="110">
        <f>IF('CALENDARIO 2027'!AE98="G",1,0)</f>
        <v>1</v>
      </c>
      <c r="I61" s="110">
        <f>IF('CALENDARIO 2027'!AE99="G",1,0)</f>
        <v>0</v>
      </c>
      <c r="J61" s="110">
        <f>IF('CALENDARIO 2027'!AE100="G",1,0)</f>
        <v>0</v>
      </c>
      <c r="K61" s="110">
        <f>IF('CALENDARIO 2027'!AE101="G",1,0)</f>
        <v>0</v>
      </c>
      <c r="L61" s="110">
        <f>IF('CALENDARIO 2027'!AE102="G",1,0)</f>
        <v>1</v>
      </c>
    </row>
    <row r="62" spans="2:12" x14ac:dyDescent="0.25">
      <c r="B62" s="115">
        <v>60</v>
      </c>
      <c r="C62" s="116">
        <v>46727</v>
      </c>
      <c r="D62" s="116">
        <v>46733</v>
      </c>
      <c r="E62" s="117" t="str">
        <f>LEFT(IF('CALENDARIO 2027'!H107="G","JAVI · ","")&amp;IF('CALENDARIO 2027'!H108="G","JOSE · ","")&amp;IF('CALENDARIO 2027'!H109="G","JOSE LUIS · ","")&amp;IF('CALENDARIO 2027'!H110="G","ALBERTO · ","")&amp;IF('CALENDARIO 2027'!H111="G","MOLINERO · ",""),LEN(IF('CALENDARIO 2027'!H107="G","JAVI · ","")&amp;IF('CALENDARIO 2027'!H108="G","JOSE · ","")&amp;IF('CALENDARIO 2027'!H109="G","JOSE LUIS · ","")&amp;IF('CALENDARIO 2027'!H110="G","ALBERTO · ","")&amp;IF('CALENDARIO 2027'!H111="G","MOLINERO · ",""))-3)</f>
        <v>JOSE LUIS · ALBERTO</v>
      </c>
      <c r="F62" s="118" t="s">
        <v>148</v>
      </c>
      <c r="H62" s="110">
        <f>IF('CALENDARIO 2027'!H107="G",1,0)</f>
        <v>0</v>
      </c>
      <c r="I62" s="110">
        <f>IF('CALENDARIO 2027'!H108="G",1,0)</f>
        <v>0</v>
      </c>
      <c r="J62" s="110">
        <f>IF('CALENDARIO 2027'!H109="G",1,0)</f>
        <v>1</v>
      </c>
      <c r="K62" s="110">
        <f>IF('CALENDARIO 2027'!H110="G",1,0)</f>
        <v>1</v>
      </c>
      <c r="L62" s="110">
        <f>IF('CALENDARIO 2027'!H111="G",1,0)</f>
        <v>0</v>
      </c>
    </row>
    <row r="63" spans="2:12" x14ac:dyDescent="0.25">
      <c r="B63" s="106">
        <v>61</v>
      </c>
      <c r="C63" s="107">
        <v>46734</v>
      </c>
      <c r="D63" s="107">
        <v>46740</v>
      </c>
      <c r="E63" s="108" t="str">
        <f>LEFT(IF('CALENDARIO 2027'!O107="G","JAVI · ","")&amp;IF('CALENDARIO 2027'!O108="G","JOSE · ","")&amp;IF('CALENDARIO 2027'!O109="G","JOSE LUIS · ","")&amp;IF('CALENDARIO 2027'!O110="G","ALBERTO · ","")&amp;IF('CALENDARIO 2027'!O111="G","MOLINERO · ",""),LEN(IF('CALENDARIO 2027'!O107="G","JAVI · ","")&amp;IF('CALENDARIO 2027'!O108="G","JOSE · ","")&amp;IF('CALENDARIO 2027'!O109="G","JOSE LUIS · ","")&amp;IF('CALENDARIO 2027'!O110="G","ALBERTO · ","")&amp;IF('CALENDARIO 2027'!O111="G","MOLINERO · ",""))-3)</f>
        <v>JOSE · MOLINERO</v>
      </c>
      <c r="F63" s="109"/>
      <c r="H63" s="110">
        <f>IF('CALENDARIO 2027'!O107="G",1,0)</f>
        <v>0</v>
      </c>
      <c r="I63" s="110">
        <f>IF('CALENDARIO 2027'!O108="G",1,0)</f>
        <v>1</v>
      </c>
      <c r="J63" s="110">
        <f>IF('CALENDARIO 2027'!O109="G",1,0)</f>
        <v>0</v>
      </c>
      <c r="K63" s="110">
        <f>IF('CALENDARIO 2027'!O110="G",1,0)</f>
        <v>0</v>
      </c>
      <c r="L63" s="110">
        <f>IF('CALENDARIO 2027'!O111="G",1,0)</f>
        <v>1</v>
      </c>
    </row>
    <row r="64" spans="2:12" x14ac:dyDescent="0.25">
      <c r="B64" s="115">
        <v>62</v>
      </c>
      <c r="C64" s="116">
        <v>46741</v>
      </c>
      <c r="D64" s="116">
        <v>46747</v>
      </c>
      <c r="E64" s="117" t="str">
        <f>LEFT(IF('CALENDARIO 2027'!V107="G","JAVI · ","")&amp;IF('CALENDARIO 2027'!V108="G","JOSE · ","")&amp;IF('CALENDARIO 2027'!V109="G","JOSE LUIS · ","")&amp;IF('CALENDARIO 2027'!V110="G","ALBERTO · ","")&amp;IF('CALENDARIO 2027'!V111="G","MOLINERO · ",""),LEN(IF('CALENDARIO 2027'!V107="G","JAVI · ","")&amp;IF('CALENDARIO 2027'!V108="G","JOSE · ","")&amp;IF('CALENDARIO 2027'!V109="G","JOSE LUIS · ","")&amp;IF('CALENDARIO 2027'!V110="G","ALBERTO · ","")&amp;IF('CALENDARIO 2027'!V111="G","MOLINERO · ",""))-3)</f>
        <v>JAVI · JOSE LUIS</v>
      </c>
      <c r="F64" s="118" t="s">
        <v>137</v>
      </c>
      <c r="H64" s="110">
        <f>IF('CALENDARIO 2027'!V107="G",1,0)</f>
        <v>1</v>
      </c>
      <c r="I64" s="110">
        <f>IF('CALENDARIO 2027'!V108="G",1,0)</f>
        <v>0</v>
      </c>
      <c r="J64" s="110">
        <f>IF('CALENDARIO 2027'!V109="G",1,0)</f>
        <v>1</v>
      </c>
      <c r="K64" s="110">
        <f>IF('CALENDARIO 2027'!V110="G",1,0)</f>
        <v>0</v>
      </c>
      <c r="L64" s="110">
        <f>IF('CALENDARIO 2027'!V111="G",1,0)</f>
        <v>0</v>
      </c>
    </row>
    <row r="65" spans="2:12" x14ac:dyDescent="0.25">
      <c r="B65" s="115">
        <v>63</v>
      </c>
      <c r="C65" s="116">
        <v>46748</v>
      </c>
      <c r="D65" s="116">
        <v>46752</v>
      </c>
      <c r="E65" s="117" t="str">
        <f>LEFT(IF('CALENDARIO 2027'!AC107="G","JAVI · ","")&amp;IF('CALENDARIO 2027'!AC108="G","JOSE · ","")&amp;IF('CALENDARIO 2027'!AC109="G","JOSE LUIS · ","")&amp;IF('CALENDARIO 2027'!AC110="G","ALBERTO · ","")&amp;IF('CALENDARIO 2027'!AC111="G","MOLINERO · ",""),LEN(IF('CALENDARIO 2027'!AC107="G","JAVI · ","")&amp;IF('CALENDARIO 2027'!AC108="G","JOSE · ","")&amp;IF('CALENDARIO 2027'!AC109="G","JOSE LUIS · ","")&amp;IF('CALENDARIO 2027'!AC110="G","ALBERTO · ","")&amp;IF('CALENDARIO 2027'!AC111="G","MOLINERO · ",""))-3)</f>
        <v>JOSE · ALBERTO</v>
      </c>
      <c r="F65" s="118" t="s">
        <v>149</v>
      </c>
      <c r="H65" s="110">
        <f>IF('CALENDARIO 2027'!AC107="G",1,0)</f>
        <v>0</v>
      </c>
      <c r="I65" s="110">
        <f>IF('CALENDARIO 2027'!AC108="G",1,0)</f>
        <v>1</v>
      </c>
      <c r="J65" s="110">
        <f>IF('CALENDARIO 2027'!AC109="G",1,0)</f>
        <v>0</v>
      </c>
      <c r="K65" s="110">
        <f>IF('CALENDARIO 2027'!AC110="G",1,0)</f>
        <v>1</v>
      </c>
      <c r="L65" s="110">
        <f>IF('CALENDARIO 2027'!AC111="G",1,0)</f>
        <v>0</v>
      </c>
    </row>
    <row r="67" spans="2:12" x14ac:dyDescent="0.25">
      <c r="B67" s="97" t="s">
        <v>150</v>
      </c>
      <c r="H67" s="139"/>
      <c r="I67" s="140"/>
    </row>
    <row r="68" spans="2:12" x14ac:dyDescent="0.25">
      <c r="H68" s="140"/>
      <c r="I68" s="140"/>
    </row>
    <row r="69" spans="2:12" x14ac:dyDescent="0.25">
      <c r="H69" s="140"/>
      <c r="I69" s="140"/>
    </row>
    <row r="70" spans="2:12" x14ac:dyDescent="0.25">
      <c r="H70" s="140"/>
      <c r="I70" s="140"/>
    </row>
    <row r="71" spans="2:12" x14ac:dyDescent="0.25">
      <c r="H71" s="140"/>
      <c r="I71" s="140"/>
    </row>
    <row r="72" spans="2:12" x14ac:dyDescent="0.25">
      <c r="H72" s="140"/>
      <c r="I72" s="140"/>
    </row>
    <row r="73" spans="2:12" x14ac:dyDescent="0.25">
      <c r="H73" s="140"/>
      <c r="I73" s="140"/>
    </row>
    <row r="74" spans="2:12" x14ac:dyDescent="0.25">
      <c r="H74" s="140"/>
      <c r="I74" s="140"/>
    </row>
    <row r="75" spans="2:12" x14ac:dyDescent="0.25">
      <c r="H75" s="140"/>
      <c r="I75" s="140"/>
    </row>
    <row r="76" spans="2:12" x14ac:dyDescent="0.25">
      <c r="H76" s="140"/>
      <c r="I76" s="140"/>
    </row>
    <row r="77" spans="2:12" x14ac:dyDescent="0.25">
      <c r="H77" s="140"/>
      <c r="I77" s="140"/>
    </row>
    <row r="78" spans="2:12" x14ac:dyDescent="0.25">
      <c r="H78" s="140"/>
      <c r="I78" s="140"/>
    </row>
    <row r="79" spans="2:12" x14ac:dyDescent="0.25">
      <c r="H79" s="140"/>
      <c r="I79" s="140"/>
    </row>
    <row r="80" spans="2:12" x14ac:dyDescent="0.25">
      <c r="H80" s="140"/>
      <c r="I80" s="140"/>
    </row>
    <row r="81" spans="8:9" x14ac:dyDescent="0.25">
      <c r="H81" s="140"/>
      <c r="I81" s="140"/>
    </row>
    <row r="82" spans="8:9" x14ac:dyDescent="0.25">
      <c r="H82" s="140"/>
      <c r="I82" s="140"/>
    </row>
    <row r="83" spans="8:9" x14ac:dyDescent="0.25">
      <c r="H83" s="140"/>
      <c r="I83" s="140"/>
    </row>
    <row r="84" spans="8:9" x14ac:dyDescent="0.25">
      <c r="H84" s="140"/>
      <c r="I84" s="140"/>
    </row>
    <row r="85" spans="8:9" x14ac:dyDescent="0.25">
      <c r="H85" s="140"/>
      <c r="I85" s="140"/>
    </row>
    <row r="86" spans="8:9" x14ac:dyDescent="0.25">
      <c r="H86" s="140"/>
      <c r="I86" s="140"/>
    </row>
    <row r="87" spans="8:9" x14ac:dyDescent="0.25">
      <c r="H87" s="140"/>
      <c r="I87" s="140"/>
    </row>
    <row r="88" spans="8:9" x14ac:dyDescent="0.25">
      <c r="H88" s="140"/>
      <c r="I88" s="140"/>
    </row>
    <row r="89" spans="8:9" x14ac:dyDescent="0.25">
      <c r="H89" s="140"/>
      <c r="I89" s="140"/>
    </row>
    <row r="90" spans="8:9" x14ac:dyDescent="0.25">
      <c r="H90" s="140"/>
      <c r="I90" s="140"/>
    </row>
    <row r="91" spans="8:9" x14ac:dyDescent="0.25">
      <c r="H91" s="140"/>
      <c r="I91" s="140"/>
    </row>
    <row r="92" spans="8:9" x14ac:dyDescent="0.25">
      <c r="H92" s="140"/>
      <c r="I92" s="140"/>
    </row>
    <row r="93" spans="8:9" x14ac:dyDescent="0.25">
      <c r="H93" s="140"/>
      <c r="I93" s="140"/>
    </row>
  </sheetData>
  <mergeCells count="1">
    <mergeCell ref="H67:I93"/>
  </mergeCells>
  <pageMargins left="0.75" right="0.75" top="1" bottom="1" header="0.511811023622047" footer="0.511811023622047"/>
  <pageSetup paperSize="9" fitToHeight="0" orientation="landscape" horizontalDpi="300" verticalDpi="300"/>
</worksheet>
</file>

<file path=docMetadata/LabelInfo.xml><?xml version="1.0" encoding="utf-8"?>
<clbl:labelList xmlns:clbl="http://schemas.microsoft.com/office/2020/mipLabelMetadata">
  <clbl:label id="{7422dd6b-2cc3-4668-9b0c-7cf80962cf63}" enabled="1" method="Privileged" siteId="{f752ca51-e762-497a-939c-e7b7813268a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CALENDARIO 2026</vt:lpstr>
      <vt:lpstr>CALENDARIO 2027</vt:lpstr>
      <vt:lpstr>GUARDIAS</vt:lpstr>
      <vt:lpstr>FESTIVOS</vt:lpstr>
      <vt:lpstr>SEMANAS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 Antonio Garcia Nogales</cp:lastModifiedBy>
  <cp:revision>0</cp:revision>
  <dcterms:created xsi:type="dcterms:W3CDTF">2026-10-12T09:12:36Z</dcterms:created>
  <dcterms:modified xsi:type="dcterms:W3CDTF">2026-10-21T05:30:49Z</dcterms:modified>
  <cp:category/>
  <cp:contentStatus/>
</cp:coreProperties>
</file>